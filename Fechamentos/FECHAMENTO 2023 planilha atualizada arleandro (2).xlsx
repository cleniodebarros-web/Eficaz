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45" windowWidth="19875" windowHeight="7725" tabRatio="487" activeTab="1"/>
  </bookViews>
  <sheets>
    <sheet name="plan modelo" sheetId="37" r:id="rId1"/>
    <sheet name="plan maio" sheetId="35" r:id="rId2"/>
  </sheets>
  <calcPr calcId="144525"/>
</workbook>
</file>

<file path=xl/calcChain.xml><?xml version="1.0" encoding="utf-8"?>
<calcChain xmlns="http://schemas.openxmlformats.org/spreadsheetml/2006/main">
  <c r="B89" i="37" l="1"/>
  <c r="B88" i="37"/>
  <c r="B86" i="37"/>
  <c r="B85" i="37"/>
  <c r="B84" i="37"/>
  <c r="B82" i="37"/>
  <c r="B81" i="37"/>
  <c r="B80" i="37"/>
  <c r="B79" i="37"/>
  <c r="B78" i="37"/>
  <c r="B77" i="37"/>
  <c r="B76" i="37"/>
  <c r="B75" i="37"/>
  <c r="B74" i="37"/>
  <c r="B73" i="37"/>
  <c r="B72" i="37"/>
  <c r="B71" i="37"/>
  <c r="B70" i="37"/>
  <c r="B69" i="37"/>
  <c r="B68" i="37"/>
  <c r="B67" i="37"/>
  <c r="B66" i="37"/>
  <c r="B65" i="37"/>
  <c r="B64" i="37"/>
  <c r="B63" i="37"/>
  <c r="B62" i="37"/>
  <c r="B61" i="37"/>
  <c r="B60" i="37"/>
  <c r="B59" i="37"/>
  <c r="B58" i="37"/>
  <c r="B57" i="37"/>
  <c r="B55" i="37"/>
  <c r="B54" i="37"/>
  <c r="B53" i="37"/>
  <c r="B52" i="37"/>
  <c r="B51" i="37"/>
  <c r="E42" i="37"/>
  <c r="B42" i="37"/>
  <c r="F37" i="37"/>
  <c r="E37" i="37"/>
  <c r="D37" i="37"/>
  <c r="C37" i="37"/>
  <c r="B37" i="37"/>
  <c r="B29" i="37"/>
  <c r="B28" i="37"/>
  <c r="B27" i="37"/>
  <c r="P24" i="37"/>
  <c r="Q24" i="37" s="1"/>
  <c r="P23" i="37"/>
  <c r="P25" i="37" s="1"/>
  <c r="P21" i="37"/>
  <c r="N21" i="37"/>
  <c r="K20" i="37"/>
  <c r="B20" i="37"/>
  <c r="M19" i="37"/>
  <c r="B19" i="37"/>
  <c r="Q17" i="37"/>
  <c r="D17" i="37"/>
  <c r="E17" i="37" s="1"/>
  <c r="Q16" i="37"/>
  <c r="P14" i="37"/>
  <c r="N14" i="37"/>
  <c r="L14" i="37"/>
  <c r="J14" i="37"/>
  <c r="H14" i="37"/>
  <c r="F14" i="37"/>
  <c r="D14" i="37"/>
  <c r="B13" i="37"/>
  <c r="B12" i="37"/>
  <c r="B11" i="37"/>
  <c r="M10" i="37"/>
  <c r="B10" i="37"/>
  <c r="Q9" i="37"/>
  <c r="B9" i="37"/>
  <c r="M8" i="37"/>
  <c r="B8" i="37"/>
  <c r="Q7" i="37"/>
  <c r="B7" i="37"/>
  <c r="B6" i="37"/>
  <c r="E5" i="37"/>
  <c r="B5" i="37"/>
  <c r="P4" i="37"/>
  <c r="N4" i="37"/>
  <c r="O17" i="37" s="1"/>
  <c r="L4" i="37"/>
  <c r="M85" i="37" s="1"/>
  <c r="J4" i="37"/>
  <c r="K12" i="37" s="1"/>
  <c r="H4" i="37"/>
  <c r="F4" i="37"/>
  <c r="G89" i="37" s="1"/>
  <c r="D4" i="37"/>
  <c r="M6" i="37" l="1"/>
  <c r="B4" i="37"/>
  <c r="C16" i="37" s="1"/>
  <c r="M12" i="37"/>
  <c r="M18" i="37"/>
  <c r="G7" i="37"/>
  <c r="G17" i="37"/>
  <c r="G20" i="37"/>
  <c r="G5" i="37"/>
  <c r="G13" i="37"/>
  <c r="G11" i="37"/>
  <c r="G9" i="37"/>
  <c r="M14" i="37"/>
  <c r="L47" i="37" s="1"/>
  <c r="Q14" i="37"/>
  <c r="C12" i="37"/>
  <c r="B14" i="37"/>
  <c r="I82" i="37"/>
  <c r="I80" i="37"/>
  <c r="I78" i="37"/>
  <c r="I76" i="37"/>
  <c r="I74" i="37"/>
  <c r="I72" i="37"/>
  <c r="I70" i="37"/>
  <c r="I68" i="37"/>
  <c r="I66" i="37"/>
  <c r="I64" i="37"/>
  <c r="I62" i="37"/>
  <c r="I60" i="37"/>
  <c r="I58" i="37"/>
  <c r="I18" i="37"/>
  <c r="I52" i="37"/>
  <c r="I86" i="37"/>
  <c r="I81" i="37"/>
  <c r="I77" i="37"/>
  <c r="I73" i="37"/>
  <c r="I69" i="37"/>
  <c r="I65" i="37"/>
  <c r="I61" i="37"/>
  <c r="I57" i="37"/>
  <c r="I55" i="37"/>
  <c r="I51" i="37"/>
  <c r="I17" i="37"/>
  <c r="I85" i="37"/>
  <c r="I54" i="37"/>
  <c r="I89" i="37"/>
  <c r="I84" i="37"/>
  <c r="I79" i="37"/>
  <c r="I75" i="37"/>
  <c r="I71" i="37"/>
  <c r="I67" i="37"/>
  <c r="I63" i="37"/>
  <c r="I59" i="37"/>
  <c r="I53" i="37"/>
  <c r="I88" i="37"/>
  <c r="O8" i="37"/>
  <c r="I11" i="37"/>
  <c r="C19" i="37"/>
  <c r="B21" i="37"/>
  <c r="I20" i="37"/>
  <c r="O10" i="37"/>
  <c r="I13" i="37"/>
  <c r="I19" i="37"/>
  <c r="E85" i="37"/>
  <c r="E54" i="37"/>
  <c r="E52" i="37"/>
  <c r="E84" i="37"/>
  <c r="E79" i="37"/>
  <c r="E75" i="37"/>
  <c r="E71" i="37"/>
  <c r="E67" i="37"/>
  <c r="E63" i="37"/>
  <c r="E59" i="37"/>
  <c r="E53" i="37"/>
  <c r="E20" i="37"/>
  <c r="E88" i="37"/>
  <c r="E82" i="37"/>
  <c r="E78" i="37"/>
  <c r="E74" i="37"/>
  <c r="E70" i="37"/>
  <c r="E66" i="37"/>
  <c r="E62" i="37"/>
  <c r="E58" i="37"/>
  <c r="E19" i="37"/>
  <c r="E12" i="37"/>
  <c r="E10" i="37"/>
  <c r="E8" i="37"/>
  <c r="E6" i="37"/>
  <c r="E86" i="37"/>
  <c r="E81" i="37"/>
  <c r="E77" i="37"/>
  <c r="E73" i="37"/>
  <c r="E69" i="37"/>
  <c r="E65" i="37"/>
  <c r="E61" i="37"/>
  <c r="E57" i="37"/>
  <c r="E55" i="37"/>
  <c r="E51" i="37"/>
  <c r="E80" i="37"/>
  <c r="E76" i="37"/>
  <c r="E72" i="37"/>
  <c r="E68" i="37"/>
  <c r="E64" i="37"/>
  <c r="E60" i="37"/>
  <c r="E89" i="37"/>
  <c r="K86" i="37"/>
  <c r="K84" i="37"/>
  <c r="K55" i="37"/>
  <c r="K53" i="37"/>
  <c r="K51" i="37"/>
  <c r="K81" i="37"/>
  <c r="K77" i="37"/>
  <c r="K73" i="37"/>
  <c r="K69" i="37"/>
  <c r="K65" i="37"/>
  <c r="K61" i="37"/>
  <c r="K57" i="37"/>
  <c r="K18" i="37"/>
  <c r="K17" i="37"/>
  <c r="K13" i="37"/>
  <c r="K11" i="37"/>
  <c r="K9" i="37"/>
  <c r="K7" i="37"/>
  <c r="K85" i="37"/>
  <c r="K80" i="37"/>
  <c r="K76" i="37"/>
  <c r="K72" i="37"/>
  <c r="K68" i="37"/>
  <c r="K64" i="37"/>
  <c r="K60" i="37"/>
  <c r="K54" i="37"/>
  <c r="K89" i="37"/>
  <c r="K79" i="37"/>
  <c r="K75" i="37"/>
  <c r="K71" i="37"/>
  <c r="K67" i="37"/>
  <c r="K63" i="37"/>
  <c r="K59" i="37"/>
  <c r="K88" i="37"/>
  <c r="K82" i="37"/>
  <c r="K78" i="37"/>
  <c r="K74" i="37"/>
  <c r="K70" i="37"/>
  <c r="K66" i="37"/>
  <c r="K62" i="37"/>
  <c r="K58" i="37"/>
  <c r="K52" i="37"/>
  <c r="Q85" i="37"/>
  <c r="Q83" i="37"/>
  <c r="Q54" i="37"/>
  <c r="Q52" i="37"/>
  <c r="Q50" i="37"/>
  <c r="Q89" i="37"/>
  <c r="Q84" i="37"/>
  <c r="Q79" i="37"/>
  <c r="Q75" i="37"/>
  <c r="Q71" i="37"/>
  <c r="Q67" i="37"/>
  <c r="Q63" i="37"/>
  <c r="Q59" i="37"/>
  <c r="Q53" i="37"/>
  <c r="Q20" i="37"/>
  <c r="Q12" i="37"/>
  <c r="Q10" i="37"/>
  <c r="Q8" i="37"/>
  <c r="Q6" i="37"/>
  <c r="Q88" i="37"/>
  <c r="Q82" i="37"/>
  <c r="Q78" i="37"/>
  <c r="Q74" i="37"/>
  <c r="Q70" i="37"/>
  <c r="Q66" i="37"/>
  <c r="Q62" i="37"/>
  <c r="Q58" i="37"/>
  <c r="Q87" i="37"/>
  <c r="Q86" i="37"/>
  <c r="Q81" i="37"/>
  <c r="Q77" i="37"/>
  <c r="Q73" i="37"/>
  <c r="Q69" i="37"/>
  <c r="Q65" i="37"/>
  <c r="Q61" i="37"/>
  <c r="Q57" i="37"/>
  <c r="Q55" i="37"/>
  <c r="Q51" i="37"/>
  <c r="Q49" i="37"/>
  <c r="Q48" i="37"/>
  <c r="Q80" i="37"/>
  <c r="Q76" i="37"/>
  <c r="Q72" i="37"/>
  <c r="Q68" i="37"/>
  <c r="Q64" i="37"/>
  <c r="Q60" i="37"/>
  <c r="Q56" i="37"/>
  <c r="I5" i="37"/>
  <c r="I6" i="37"/>
  <c r="E7" i="37"/>
  <c r="Q11" i="37"/>
  <c r="O12" i="37"/>
  <c r="O13" i="37"/>
  <c r="G14" i="37"/>
  <c r="E18" i="37"/>
  <c r="K19" i="37"/>
  <c r="O20" i="37"/>
  <c r="Q23" i="37"/>
  <c r="Q25" i="37" s="1"/>
  <c r="B44" i="37"/>
  <c r="G37" i="37"/>
  <c r="C54" i="37"/>
  <c r="Q4" i="37"/>
  <c r="K5" i="37"/>
  <c r="K6" i="37"/>
  <c r="I8" i="37"/>
  <c r="E9" i="37"/>
  <c r="Q13" i="37"/>
  <c r="O5" i="37"/>
  <c r="I7" i="37"/>
  <c r="K8" i="37"/>
  <c r="I10" i="37"/>
  <c r="E11" i="37"/>
  <c r="O18" i="37"/>
  <c r="O21" i="37"/>
  <c r="Q47" i="37"/>
  <c r="G4" i="37"/>
  <c r="Q5" i="37"/>
  <c r="O6" i="37"/>
  <c r="O7" i="37"/>
  <c r="I9" i="37"/>
  <c r="K10" i="37"/>
  <c r="I12" i="37"/>
  <c r="E13" i="37"/>
  <c r="K14" i="37"/>
  <c r="Q18" i="37"/>
  <c r="C76" i="37"/>
  <c r="C17" i="37"/>
  <c r="C86" i="37"/>
  <c r="O81" i="37"/>
  <c r="O79" i="37"/>
  <c r="O77" i="37"/>
  <c r="O75" i="37"/>
  <c r="O73" i="37"/>
  <c r="O71" i="37"/>
  <c r="O69" i="37"/>
  <c r="O67" i="37"/>
  <c r="O65" i="37"/>
  <c r="O63" i="37"/>
  <c r="O61" i="37"/>
  <c r="O59" i="37"/>
  <c r="O57" i="37"/>
  <c r="O47" i="37"/>
  <c r="O85" i="37"/>
  <c r="O80" i="37"/>
  <c r="O76" i="37"/>
  <c r="O72" i="37"/>
  <c r="O68" i="37"/>
  <c r="O64" i="37"/>
  <c r="O60" i="37"/>
  <c r="O56" i="37"/>
  <c r="O54" i="37"/>
  <c r="O50" i="37"/>
  <c r="O16" i="37"/>
  <c r="O89" i="37"/>
  <c r="N23" i="37"/>
  <c r="O84" i="37"/>
  <c r="O53" i="37"/>
  <c r="O88" i="37"/>
  <c r="O82" i="37"/>
  <c r="O78" i="37"/>
  <c r="O74" i="37"/>
  <c r="O70" i="37"/>
  <c r="O66" i="37"/>
  <c r="O62" i="37"/>
  <c r="O58" i="37"/>
  <c r="O52" i="37"/>
  <c r="O86" i="37"/>
  <c r="O55" i="37"/>
  <c r="O51" i="37"/>
  <c r="O9" i="37"/>
  <c r="E14" i="37"/>
  <c r="O11" i="37"/>
  <c r="G53" i="37"/>
  <c r="M57" i="37"/>
  <c r="G59" i="37"/>
  <c r="M61" i="37"/>
  <c r="G63" i="37"/>
  <c r="M65" i="37"/>
  <c r="G67" i="37"/>
  <c r="M69" i="37"/>
  <c r="G71" i="37"/>
  <c r="M73" i="37"/>
  <c r="G75" i="37"/>
  <c r="M77" i="37"/>
  <c r="G79" i="37"/>
  <c r="M81" i="37"/>
  <c r="G84" i="37"/>
  <c r="M52" i="37"/>
  <c r="G54" i="37"/>
  <c r="M58" i="37"/>
  <c r="M62" i="37"/>
  <c r="M66" i="37"/>
  <c r="C69" i="37"/>
  <c r="M70" i="37"/>
  <c r="M74" i="37"/>
  <c r="M78" i="37"/>
  <c r="M82" i="37"/>
  <c r="G85" i="37"/>
  <c r="M53" i="37"/>
  <c r="G60" i="37"/>
  <c r="G64" i="37"/>
  <c r="G68" i="37"/>
  <c r="G72" i="37"/>
  <c r="G76" i="37"/>
  <c r="G80" i="37"/>
  <c r="M84" i="37"/>
  <c r="G51" i="37"/>
  <c r="G55" i="37"/>
  <c r="G57" i="37"/>
  <c r="M59" i="37"/>
  <c r="G61" i="37"/>
  <c r="M63" i="37"/>
  <c r="G65" i="37"/>
  <c r="M67" i="37"/>
  <c r="G69" i="37"/>
  <c r="M71" i="37"/>
  <c r="G73" i="37"/>
  <c r="M75" i="37"/>
  <c r="G77" i="37"/>
  <c r="M79" i="37"/>
  <c r="G81" i="37"/>
  <c r="G86" i="37"/>
  <c r="M89" i="37"/>
  <c r="G18" i="37"/>
  <c r="G52" i="37"/>
  <c r="M54" i="37"/>
  <c r="M60" i="37"/>
  <c r="M64" i="37"/>
  <c r="M68" i="37"/>
  <c r="M72" i="37"/>
  <c r="M76" i="37"/>
  <c r="M80" i="37"/>
  <c r="M88" i="37"/>
  <c r="M20" i="37"/>
  <c r="M17" i="37"/>
  <c r="M5" i="37"/>
  <c r="G6" i="37"/>
  <c r="M7" i="37"/>
  <c r="G8" i="37"/>
  <c r="M9" i="37"/>
  <c r="G10" i="37"/>
  <c r="M11" i="37"/>
  <c r="G12" i="37"/>
  <c r="M13" i="37"/>
  <c r="G19" i="37"/>
  <c r="Q21" i="37"/>
  <c r="M51" i="37"/>
  <c r="M55" i="37"/>
  <c r="G58" i="37"/>
  <c r="G62" i="37"/>
  <c r="G66" i="37"/>
  <c r="G70" i="37"/>
  <c r="G74" i="37"/>
  <c r="G78" i="37"/>
  <c r="G82" i="37"/>
  <c r="M86" i="37"/>
  <c r="G88" i="37"/>
  <c r="C59" i="37" l="1"/>
  <c r="C48" i="37"/>
  <c r="C58" i="37"/>
  <c r="C72" i="37"/>
  <c r="C7" i="37"/>
  <c r="C71" i="37"/>
  <c r="C81" i="37"/>
  <c r="C49" i="37"/>
  <c r="C66" i="37"/>
  <c r="C4" i="37"/>
  <c r="C61" i="37"/>
  <c r="C20" i="37"/>
  <c r="C11" i="37"/>
  <c r="K4" i="37"/>
  <c r="J87" i="37" s="1"/>
  <c r="K87" i="37" s="1"/>
  <c r="C60" i="37"/>
  <c r="C84" i="37"/>
  <c r="C67" i="37"/>
  <c r="C83" i="37"/>
  <c r="E4" i="37"/>
  <c r="C9" i="37"/>
  <c r="C79" i="37"/>
  <c r="C73" i="37"/>
  <c r="C56" i="37"/>
  <c r="C70" i="37"/>
  <c r="C5" i="37"/>
  <c r="C13" i="37"/>
  <c r="C80" i="37"/>
  <c r="C18" i="37"/>
  <c r="C52" i="37"/>
  <c r="C6" i="37"/>
  <c r="C57" i="37"/>
  <c r="C88" i="37"/>
  <c r="C64" i="37"/>
  <c r="M4" i="37"/>
  <c r="L56" i="37" s="1"/>
  <c r="M56" i="37" s="1"/>
  <c r="C74" i="37"/>
  <c r="C78" i="37"/>
  <c r="B23" i="37"/>
  <c r="C77" i="37"/>
  <c r="C65" i="37"/>
  <c r="C51" i="37"/>
  <c r="C87" i="37"/>
  <c r="C50" i="37"/>
  <c r="C89" i="37"/>
  <c r="C68" i="37"/>
  <c r="C53" i="37"/>
  <c r="O4" i="37"/>
  <c r="N87" i="37" s="1"/>
  <c r="O87" i="37" s="1"/>
  <c r="C8" i="37"/>
  <c r="C75" i="37"/>
  <c r="C63" i="37"/>
  <c r="C55" i="37"/>
  <c r="C47" i="37"/>
  <c r="C82" i="37"/>
  <c r="C62" i="37"/>
  <c r="C85" i="37"/>
  <c r="I4" i="37"/>
  <c r="H49" i="37" s="1"/>
  <c r="I49" i="37" s="1"/>
  <c r="C21" i="37"/>
  <c r="C14" i="37"/>
  <c r="C10" i="37"/>
  <c r="L16" i="37"/>
  <c r="M16" i="37" s="1"/>
  <c r="L50" i="37"/>
  <c r="M50" i="37" s="1"/>
  <c r="I14" i="37"/>
  <c r="O14" i="37"/>
  <c r="D47" i="37"/>
  <c r="D50" i="37"/>
  <c r="E50" i="37" s="1"/>
  <c r="D16" i="37"/>
  <c r="M47" i="37"/>
  <c r="C23" i="37"/>
  <c r="J47" i="37"/>
  <c r="J50" i="37"/>
  <c r="K50" i="37" s="1"/>
  <c r="J16" i="37"/>
  <c r="F50" i="37"/>
  <c r="G50" i="37" s="1"/>
  <c r="F47" i="37"/>
  <c r="F16" i="37"/>
  <c r="O23" i="37"/>
  <c r="H56" i="37"/>
  <c r="I56" i="37" s="1"/>
  <c r="J83" i="37"/>
  <c r="K83" i="37" s="1"/>
  <c r="J49" i="37"/>
  <c r="K49" i="37" s="1"/>
  <c r="J48" i="37"/>
  <c r="K48" i="37" s="1"/>
  <c r="L48" i="37"/>
  <c r="M48" i="37" s="1"/>
  <c r="D83" i="37"/>
  <c r="E83" i="37" s="1"/>
  <c r="D87" i="37"/>
  <c r="E87" i="37" s="1"/>
  <c r="D56" i="37"/>
  <c r="E56" i="37" s="1"/>
  <c r="D49" i="37"/>
  <c r="E49" i="37" s="1"/>
  <c r="D48" i="37"/>
  <c r="E48" i="37" s="1"/>
  <c r="F48" i="37"/>
  <c r="G48" i="37" s="1"/>
  <c r="F87" i="37"/>
  <c r="G87" i="37" s="1"/>
  <c r="F56" i="37"/>
  <c r="G56" i="37" s="1"/>
  <c r="F49" i="37"/>
  <c r="G49" i="37" s="1"/>
  <c r="F83" i="37"/>
  <c r="G83" i="37" s="1"/>
  <c r="L83" i="37" l="1"/>
  <c r="M83" i="37" s="1"/>
  <c r="J56" i="37"/>
  <c r="K56" i="37" s="1"/>
  <c r="L87" i="37"/>
  <c r="M87" i="37" s="1"/>
  <c r="L21" i="37"/>
  <c r="L23" i="37" s="1"/>
  <c r="H87" i="37"/>
  <c r="I87" i="37" s="1"/>
  <c r="H83" i="37"/>
  <c r="I83" i="37" s="1"/>
  <c r="L49" i="37"/>
  <c r="M49" i="37" s="1"/>
  <c r="H48" i="37"/>
  <c r="I48" i="37" s="1"/>
  <c r="N83" i="37"/>
  <c r="O83" i="37" s="1"/>
  <c r="N48" i="37"/>
  <c r="O48" i="37" s="1"/>
  <c r="N49" i="37"/>
  <c r="O49" i="37" s="1"/>
  <c r="H50" i="37"/>
  <c r="I50" i="37" s="1"/>
  <c r="H47" i="37"/>
  <c r="I47" i="37" s="1"/>
  <c r="H16" i="37"/>
  <c r="K16" i="37"/>
  <c r="J21" i="37"/>
  <c r="L24" i="37"/>
  <c r="M24" i="37" s="1"/>
  <c r="D21" i="37"/>
  <c r="E16" i="37"/>
  <c r="K47" i="37"/>
  <c r="J24" i="37"/>
  <c r="K24" i="37" s="1"/>
  <c r="G16" i="37"/>
  <c r="F21" i="37"/>
  <c r="E47" i="37"/>
  <c r="D24" i="37"/>
  <c r="F24" i="37"/>
  <c r="G24" i="37" s="1"/>
  <c r="G47" i="37"/>
  <c r="N24" i="37" l="1"/>
  <c r="M21" i="37"/>
  <c r="H24" i="37"/>
  <c r="I24" i="37" s="1"/>
  <c r="H21" i="37"/>
  <c r="I16" i="37"/>
  <c r="O24" i="37"/>
  <c r="O25" i="37" s="1"/>
  <c r="N25" i="37"/>
  <c r="G21" i="37"/>
  <c r="F23" i="37"/>
  <c r="E21" i="37"/>
  <c r="D23" i="37"/>
  <c r="M23" i="37"/>
  <c r="M25" i="37" s="1"/>
  <c r="L25" i="37"/>
  <c r="E24" i="37"/>
  <c r="B24" i="37"/>
  <c r="K21" i="37"/>
  <c r="J23" i="37"/>
  <c r="H23" i="37" l="1"/>
  <c r="I21" i="37"/>
  <c r="G23" i="37"/>
  <c r="G25" i="37" s="1"/>
  <c r="F25" i="37"/>
  <c r="J25" i="37"/>
  <c r="K23" i="37"/>
  <c r="K25" i="37" s="1"/>
  <c r="C24" i="37"/>
  <c r="C25" i="37" s="1"/>
  <c r="B25" i="37"/>
  <c r="D25" i="37"/>
  <c r="E23" i="37"/>
  <c r="E25" i="37" s="1"/>
  <c r="B28" i="35"/>
  <c r="B27" i="35"/>
  <c r="I23" i="37" l="1"/>
  <c r="I25" i="37" s="1"/>
  <c r="H25" i="37"/>
  <c r="N14" i="35"/>
  <c r="L14" i="35"/>
  <c r="J14" i="35"/>
  <c r="H14" i="35"/>
  <c r="F14" i="35"/>
  <c r="D14" i="35"/>
  <c r="I13" i="35"/>
  <c r="K13" i="35"/>
  <c r="M13" i="35"/>
  <c r="O13" i="35"/>
  <c r="Q13" i="35"/>
  <c r="B13" i="35"/>
  <c r="B43" i="35" l="1"/>
  <c r="E41" i="35"/>
  <c r="B41" i="35"/>
  <c r="B36" i="35" l="1"/>
  <c r="B87" i="35" l="1"/>
  <c r="B86" i="35"/>
  <c r="B84" i="35"/>
  <c r="B83" i="35"/>
  <c r="B82" i="35"/>
  <c r="B80" i="35"/>
  <c r="B79" i="35"/>
  <c r="B78" i="35"/>
  <c r="B77" i="35"/>
  <c r="Q76" i="35"/>
  <c r="B76" i="35"/>
  <c r="B75" i="35"/>
  <c r="B74" i="35"/>
  <c r="B73" i="35"/>
  <c r="Q72" i="35"/>
  <c r="B72" i="35"/>
  <c r="B71" i="35"/>
  <c r="B70" i="35"/>
  <c r="B69" i="35"/>
  <c r="Q68" i="35"/>
  <c r="B68" i="35"/>
  <c r="B67" i="35"/>
  <c r="B66" i="35"/>
  <c r="B65" i="35"/>
  <c r="Q64" i="35"/>
  <c r="B64" i="35"/>
  <c r="B63" i="35"/>
  <c r="B62" i="35"/>
  <c r="B61" i="35"/>
  <c r="Q60" i="35"/>
  <c r="B60" i="35"/>
  <c r="B59" i="35"/>
  <c r="B58" i="35"/>
  <c r="B57" i="35"/>
  <c r="Q56" i="35"/>
  <c r="B56" i="35"/>
  <c r="B55" i="35"/>
  <c r="Q53" i="35"/>
  <c r="B53" i="35"/>
  <c r="B52" i="35"/>
  <c r="Q51" i="35"/>
  <c r="B51" i="35"/>
  <c r="Q50" i="35"/>
  <c r="B50" i="35"/>
  <c r="Q49" i="35"/>
  <c r="B49" i="35"/>
  <c r="Q48" i="35"/>
  <c r="F36" i="35"/>
  <c r="E36" i="35"/>
  <c r="D36" i="35"/>
  <c r="C36" i="35"/>
  <c r="B29" i="35"/>
  <c r="P24" i="35"/>
  <c r="P21" i="35"/>
  <c r="N21" i="35"/>
  <c r="B20" i="35"/>
  <c r="B19" i="35"/>
  <c r="Q18" i="35"/>
  <c r="D17" i="35"/>
  <c r="Q16" i="35"/>
  <c r="Q12" i="35"/>
  <c r="B12" i="35"/>
  <c r="Q11" i="35"/>
  <c r="B11" i="35"/>
  <c r="Q10" i="35"/>
  <c r="B10" i="35"/>
  <c r="Q9" i="35"/>
  <c r="B9" i="35"/>
  <c r="Q8" i="35"/>
  <c r="B8" i="35"/>
  <c r="Q7" i="35"/>
  <c r="K7" i="35"/>
  <c r="B7" i="35"/>
  <c r="Q6" i="35"/>
  <c r="B6" i="35"/>
  <c r="Q5" i="35"/>
  <c r="M5" i="35"/>
  <c r="B5" i="35"/>
  <c r="P4" i="35"/>
  <c r="Q82" i="35" s="1"/>
  <c r="N4" i="35"/>
  <c r="O87" i="35" s="1"/>
  <c r="L4" i="35"/>
  <c r="M20" i="35" s="1"/>
  <c r="J4" i="35"/>
  <c r="K79" i="35" s="1"/>
  <c r="H4" i="35"/>
  <c r="I83" i="35" s="1"/>
  <c r="F4" i="35"/>
  <c r="D4" i="35"/>
  <c r="B4" i="35" l="1"/>
  <c r="C13" i="35" s="1"/>
  <c r="E86" i="35"/>
  <c r="E13" i="35"/>
  <c r="G74" i="35"/>
  <c r="G13" i="35"/>
  <c r="K9" i="35"/>
  <c r="K11" i="35"/>
  <c r="K52" i="35"/>
  <c r="K61" i="35"/>
  <c r="K65" i="35"/>
  <c r="K69" i="35"/>
  <c r="K73" i="35"/>
  <c r="K77" i="35"/>
  <c r="K18" i="35"/>
  <c r="K86" i="35"/>
  <c r="K6" i="35"/>
  <c r="K8" i="35"/>
  <c r="K10" i="35"/>
  <c r="K12" i="35"/>
  <c r="K51" i="35"/>
  <c r="K49" i="35"/>
  <c r="K5" i="35"/>
  <c r="I10" i="35"/>
  <c r="I70" i="35"/>
  <c r="I66" i="35"/>
  <c r="I62" i="35"/>
  <c r="I50" i="35"/>
  <c r="I52" i="35"/>
  <c r="I82" i="35"/>
  <c r="I19" i="35"/>
  <c r="I57" i="35"/>
  <c r="I74" i="35"/>
  <c r="I6" i="35"/>
  <c r="I8" i="35"/>
  <c r="I17" i="35"/>
  <c r="I58" i="35"/>
  <c r="M12" i="35"/>
  <c r="M9" i="35"/>
  <c r="O48" i="35"/>
  <c r="O55" i="35"/>
  <c r="O7" i="35"/>
  <c r="O20" i="35"/>
  <c r="O64" i="35"/>
  <c r="O76" i="35"/>
  <c r="O84" i="35"/>
  <c r="O21" i="35"/>
  <c r="O56" i="35"/>
  <c r="O80" i="35"/>
  <c r="O59" i="35"/>
  <c r="O68" i="35"/>
  <c r="O9" i="35"/>
  <c r="O51" i="35"/>
  <c r="O5" i="35"/>
  <c r="O46" i="35"/>
  <c r="O60" i="35"/>
  <c r="O72" i="35"/>
  <c r="M52" i="35"/>
  <c r="M7" i="35"/>
  <c r="M19" i="35"/>
  <c r="K57" i="35"/>
  <c r="B14" i="35"/>
  <c r="K14" i="35" s="1"/>
  <c r="J46" i="35" s="1"/>
  <c r="I49" i="35"/>
  <c r="I20" i="35"/>
  <c r="I61" i="35"/>
  <c r="E11" i="35"/>
  <c r="E58" i="35"/>
  <c r="Q4" i="35"/>
  <c r="E9" i="35"/>
  <c r="E10" i="35"/>
  <c r="E50" i="35"/>
  <c r="E53" i="35"/>
  <c r="E7" i="35"/>
  <c r="E8" i="35"/>
  <c r="E17" i="35"/>
  <c r="E66" i="35"/>
  <c r="E74" i="35"/>
  <c r="E5" i="35"/>
  <c r="E6" i="35"/>
  <c r="E18" i="35"/>
  <c r="E62" i="35"/>
  <c r="E70" i="35"/>
  <c r="E83" i="35"/>
  <c r="B21" i="35"/>
  <c r="G8" i="35"/>
  <c r="G70" i="35"/>
  <c r="G58" i="35"/>
  <c r="G66" i="35"/>
  <c r="G10" i="35"/>
  <c r="G18" i="35"/>
  <c r="Q21" i="35"/>
  <c r="P14" i="35"/>
  <c r="Q14" i="35" s="1"/>
  <c r="N23" i="35"/>
  <c r="G62" i="35"/>
  <c r="C76" i="35"/>
  <c r="B24" i="35"/>
  <c r="G53" i="35"/>
  <c r="G78" i="35"/>
  <c r="M84" i="35"/>
  <c r="M82" i="35"/>
  <c r="M53" i="35"/>
  <c r="M51" i="35"/>
  <c r="M49" i="35"/>
  <c r="M18" i="35"/>
  <c r="M86" i="35"/>
  <c r="M78" i="35"/>
  <c r="M74" i="35"/>
  <c r="M70" i="35"/>
  <c r="M66" i="35"/>
  <c r="M62" i="35"/>
  <c r="M58" i="35"/>
  <c r="M73" i="35"/>
  <c r="M69" i="35"/>
  <c r="M65" i="35"/>
  <c r="M61" i="35"/>
  <c r="M57" i="35"/>
  <c r="M77" i="35"/>
  <c r="M87" i="35"/>
  <c r="M80" i="35"/>
  <c r="M76" i="35"/>
  <c r="M72" i="35"/>
  <c r="M68" i="35"/>
  <c r="M64" i="35"/>
  <c r="M60" i="35"/>
  <c r="M56" i="35"/>
  <c r="M79" i="35"/>
  <c r="M75" i="35"/>
  <c r="M71" i="35"/>
  <c r="M67" i="35"/>
  <c r="M63" i="35"/>
  <c r="M59" i="35"/>
  <c r="M55" i="35"/>
  <c r="M8" i="35"/>
  <c r="M83" i="35"/>
  <c r="M50" i="35"/>
  <c r="M17" i="35"/>
  <c r="M10" i="35"/>
  <c r="M6" i="35"/>
  <c r="M11" i="35"/>
  <c r="G17" i="35"/>
  <c r="G83" i="35"/>
  <c r="G52" i="35"/>
  <c r="G50" i="35"/>
  <c r="G19" i="35"/>
  <c r="G87" i="35"/>
  <c r="G20" i="35"/>
  <c r="G75" i="35"/>
  <c r="G71" i="35"/>
  <c r="G67" i="35"/>
  <c r="G63" i="35"/>
  <c r="G59" i="35"/>
  <c r="G55" i="35"/>
  <c r="G79" i="35"/>
  <c r="G82" i="35"/>
  <c r="G49" i="35"/>
  <c r="G86" i="35"/>
  <c r="G77" i="35"/>
  <c r="G73" i="35"/>
  <c r="G69" i="35"/>
  <c r="G65" i="35"/>
  <c r="G61" i="35"/>
  <c r="G57" i="35"/>
  <c r="G11" i="35"/>
  <c r="G9" i="35"/>
  <c r="G5" i="35"/>
  <c r="G84" i="35"/>
  <c r="G80" i="35"/>
  <c r="G76" i="35"/>
  <c r="G72" i="35"/>
  <c r="G68" i="35"/>
  <c r="G64" i="35"/>
  <c r="G60" i="35"/>
  <c r="G56" i="35"/>
  <c r="G51" i="35"/>
  <c r="G7" i="35"/>
  <c r="G6" i="35"/>
  <c r="G12" i="35"/>
  <c r="Q52" i="35"/>
  <c r="K53" i="35"/>
  <c r="O54" i="35"/>
  <c r="K55" i="35"/>
  <c r="O58" i="35"/>
  <c r="K59" i="35"/>
  <c r="O62" i="35"/>
  <c r="K63" i="35"/>
  <c r="O66" i="35"/>
  <c r="K67" i="35"/>
  <c r="O70" i="35"/>
  <c r="K71" i="35"/>
  <c r="O74" i="35"/>
  <c r="K75" i="35"/>
  <c r="O78" i="35"/>
  <c r="E79" i="35"/>
  <c r="E77" i="35"/>
  <c r="E75" i="35"/>
  <c r="E73" i="35"/>
  <c r="E71" i="35"/>
  <c r="E69" i="35"/>
  <c r="E67" i="35"/>
  <c r="E65" i="35"/>
  <c r="E63" i="35"/>
  <c r="E61" i="35"/>
  <c r="E59" i="35"/>
  <c r="E57" i="35"/>
  <c r="E55" i="35"/>
  <c r="E20" i="35"/>
  <c r="K80" i="35"/>
  <c r="K78" i="35"/>
  <c r="K76" i="35"/>
  <c r="K74" i="35"/>
  <c r="K72" i="35"/>
  <c r="K70" i="35"/>
  <c r="K68" i="35"/>
  <c r="K66" i="35"/>
  <c r="K64" i="35"/>
  <c r="K62" i="35"/>
  <c r="K60" i="35"/>
  <c r="K58" i="35"/>
  <c r="K56" i="35"/>
  <c r="Q79" i="35"/>
  <c r="Q77" i="35"/>
  <c r="Q75" i="35"/>
  <c r="Q73" i="35"/>
  <c r="Q71" i="35"/>
  <c r="Q69" i="35"/>
  <c r="Q67" i="35"/>
  <c r="Q65" i="35"/>
  <c r="Q63" i="35"/>
  <c r="Q61" i="35"/>
  <c r="Q59" i="35"/>
  <c r="Q57" i="35"/>
  <c r="Q55" i="35"/>
  <c r="Q20" i="35"/>
  <c r="Q17" i="35"/>
  <c r="I5" i="35"/>
  <c r="O6" i="35"/>
  <c r="I7" i="35"/>
  <c r="O8" i="35"/>
  <c r="I9" i="35"/>
  <c r="O10" i="35"/>
  <c r="I11" i="35"/>
  <c r="E12" i="35"/>
  <c r="O17" i="35"/>
  <c r="O18" i="35"/>
  <c r="K19" i="35"/>
  <c r="K20" i="35"/>
  <c r="Q24" i="35"/>
  <c r="E49" i="35"/>
  <c r="O50" i="35"/>
  <c r="I51" i="35"/>
  <c r="E52" i="35"/>
  <c r="O53" i="35"/>
  <c r="Q54" i="35"/>
  <c r="I56" i="35"/>
  <c r="Q58" i="35"/>
  <c r="I60" i="35"/>
  <c r="Q62" i="35"/>
  <c r="I64" i="35"/>
  <c r="Q66" i="35"/>
  <c r="I68" i="35"/>
  <c r="Q70" i="35"/>
  <c r="I72" i="35"/>
  <c r="Q74" i="35"/>
  <c r="I76" i="35"/>
  <c r="Q78" i="35"/>
  <c r="I80" i="35"/>
  <c r="E82" i="35"/>
  <c r="O83" i="35"/>
  <c r="I84" i="35"/>
  <c r="E87" i="35"/>
  <c r="O63" i="35"/>
  <c r="I65" i="35"/>
  <c r="O67" i="35"/>
  <c r="I69" i="35"/>
  <c r="O71" i="35"/>
  <c r="I73" i="35"/>
  <c r="O75" i="35"/>
  <c r="I77" i="35"/>
  <c r="E78" i="35"/>
  <c r="O79" i="35"/>
  <c r="Q83" i="35"/>
  <c r="K84" i="35"/>
  <c r="I86" i="35"/>
  <c r="K87" i="35"/>
  <c r="I78" i="35"/>
  <c r="Q80" i="35"/>
  <c r="Q81" i="35"/>
  <c r="K82" i="35"/>
  <c r="Q84" i="35"/>
  <c r="Q85" i="35"/>
  <c r="Q86" i="35"/>
  <c r="I87" i="35"/>
  <c r="I12" i="35"/>
  <c r="O86" i="35"/>
  <c r="O11" i="35"/>
  <c r="O12" i="35"/>
  <c r="O16" i="35"/>
  <c r="K17" i="35"/>
  <c r="I18" i="35"/>
  <c r="E19" i="35"/>
  <c r="P23" i="35"/>
  <c r="Q46" i="35"/>
  <c r="Q47" i="35"/>
  <c r="O49" i="35"/>
  <c r="K50" i="35"/>
  <c r="E51" i="35"/>
  <c r="O52" i="35"/>
  <c r="I53" i="35"/>
  <c r="I55" i="35"/>
  <c r="E56" i="35"/>
  <c r="O57" i="35"/>
  <c r="I59" i="35"/>
  <c r="E60" i="35"/>
  <c r="O61" i="35"/>
  <c r="I63" i="35"/>
  <c r="E64" i="35"/>
  <c r="O65" i="35"/>
  <c r="I67" i="35"/>
  <c r="E68" i="35"/>
  <c r="O69" i="35"/>
  <c r="I71" i="35"/>
  <c r="E72" i="35"/>
  <c r="O73" i="35"/>
  <c r="I75" i="35"/>
  <c r="E76" i="35"/>
  <c r="O77" i="35"/>
  <c r="I79" i="35"/>
  <c r="E80" i="35"/>
  <c r="O82" i="35"/>
  <c r="K83" i="35"/>
  <c r="E84" i="35"/>
  <c r="Q87" i="35"/>
  <c r="J48" i="35" l="1"/>
  <c r="K48" i="35" s="1"/>
  <c r="G14" i="35"/>
  <c r="F16" i="35" s="1"/>
  <c r="O14" i="35"/>
  <c r="I14" i="35"/>
  <c r="H16" i="35" s="1"/>
  <c r="J16" i="35"/>
  <c r="J21" i="35" s="1"/>
  <c r="M14" i="35"/>
  <c r="L48" i="35" s="1"/>
  <c r="M48" i="35" s="1"/>
  <c r="C24" i="35"/>
  <c r="E14" i="35"/>
  <c r="D46" i="35" s="1"/>
  <c r="C56" i="35"/>
  <c r="C70" i="35"/>
  <c r="C62" i="35"/>
  <c r="C20" i="35"/>
  <c r="G4" i="35"/>
  <c r="F85" i="35" s="1"/>
  <c r="G85" i="35" s="1"/>
  <c r="C74" i="35"/>
  <c r="C66" i="35"/>
  <c r="C68" i="35"/>
  <c r="C11" i="35"/>
  <c r="C80" i="35"/>
  <c r="C10" i="35"/>
  <c r="C21" i="35"/>
  <c r="C86" i="35"/>
  <c r="C14" i="35"/>
  <c r="C8" i="35"/>
  <c r="C58" i="35"/>
  <c r="C5" i="35"/>
  <c r="C85" i="35"/>
  <c r="C81" i="35"/>
  <c r="C84" i="35"/>
  <c r="C83" i="35"/>
  <c r="C53" i="35"/>
  <c r="C50" i="35"/>
  <c r="C46" i="35"/>
  <c r="C17" i="35"/>
  <c r="I4" i="35"/>
  <c r="C4" i="35"/>
  <c r="C87" i="35"/>
  <c r="C82" i="35"/>
  <c r="C77" i="35"/>
  <c r="C73" i="35"/>
  <c r="C69" i="35"/>
  <c r="C65" i="35"/>
  <c r="C61" i="35"/>
  <c r="C57" i="35"/>
  <c r="C52" i="35"/>
  <c r="C49" i="35"/>
  <c r="C48" i="35"/>
  <c r="C47" i="35"/>
  <c r="B23" i="35"/>
  <c r="C12" i="35"/>
  <c r="O4" i="35"/>
  <c r="C79" i="35"/>
  <c r="C7" i="35"/>
  <c r="C67" i="35"/>
  <c r="C59" i="35"/>
  <c r="E4" i="35"/>
  <c r="C71" i="35"/>
  <c r="C55" i="35"/>
  <c r="K4" i="35"/>
  <c r="C75" i="35"/>
  <c r="C16" i="35"/>
  <c r="C18" i="35"/>
  <c r="M4" i="35"/>
  <c r="C63" i="35"/>
  <c r="C54" i="35"/>
  <c r="C51" i="35"/>
  <c r="C64" i="35"/>
  <c r="C60" i="35"/>
  <c r="C9" i="35"/>
  <c r="C72" i="35"/>
  <c r="C6" i="35"/>
  <c r="C78" i="35"/>
  <c r="C19" i="35"/>
  <c r="O23" i="35"/>
  <c r="Q23" i="35"/>
  <c r="Q25" i="35" s="1"/>
  <c r="P25" i="35"/>
  <c r="K46" i="35"/>
  <c r="L46" i="35" l="1"/>
  <c r="M46" i="35" s="1"/>
  <c r="F46" i="35"/>
  <c r="G46" i="35" s="1"/>
  <c r="K16" i="35"/>
  <c r="H46" i="35"/>
  <c r="I46" i="35" s="1"/>
  <c r="H48" i="35"/>
  <c r="I48" i="35" s="1"/>
  <c r="F48" i="35"/>
  <c r="G48" i="35" s="1"/>
  <c r="D48" i="35"/>
  <c r="E48" i="35" s="1"/>
  <c r="L16" i="35"/>
  <c r="L21" i="35" s="1"/>
  <c r="M21" i="35" s="1"/>
  <c r="D16" i="35"/>
  <c r="D21" i="35" s="1"/>
  <c r="F81" i="35"/>
  <c r="G81" i="35" s="1"/>
  <c r="F47" i="35"/>
  <c r="G47" i="35" s="1"/>
  <c r="F54" i="35"/>
  <c r="G54" i="35" s="1"/>
  <c r="J23" i="35"/>
  <c r="K21" i="35"/>
  <c r="I16" i="35"/>
  <c r="H21" i="35"/>
  <c r="J85" i="35"/>
  <c r="K85" i="35" s="1"/>
  <c r="J81" i="35"/>
  <c r="K81" i="35" s="1"/>
  <c r="J47" i="35"/>
  <c r="J54" i="35"/>
  <c r="K54" i="35" s="1"/>
  <c r="H54" i="35"/>
  <c r="I54" i="35" s="1"/>
  <c r="H81" i="35"/>
  <c r="I81" i="35" s="1"/>
  <c r="H85" i="35"/>
  <c r="I85" i="35" s="1"/>
  <c r="H47" i="35"/>
  <c r="I47" i="35" s="1"/>
  <c r="G16" i="35"/>
  <c r="F21" i="35"/>
  <c r="C23" i="35"/>
  <c r="C25" i="35" s="1"/>
  <c r="B25" i="35"/>
  <c r="L85" i="35"/>
  <c r="M85" i="35" s="1"/>
  <c r="L54" i="35"/>
  <c r="M54" i="35" s="1"/>
  <c r="L47" i="35"/>
  <c r="L81" i="35"/>
  <c r="M81" i="35" s="1"/>
  <c r="N85" i="35"/>
  <c r="O85" i="35" s="1"/>
  <c r="N81" i="35"/>
  <c r="O81" i="35" s="1"/>
  <c r="N47" i="35"/>
  <c r="E46" i="35"/>
  <c r="D47" i="35"/>
  <c r="E47" i="35" s="1"/>
  <c r="D85" i="35"/>
  <c r="E85" i="35" s="1"/>
  <c r="D81" i="35"/>
  <c r="E81" i="35" s="1"/>
  <c r="D54" i="35"/>
  <c r="E54" i="35" s="1"/>
  <c r="E16" i="35" l="1"/>
  <c r="L23" i="35"/>
  <c r="M23" i="35" s="1"/>
  <c r="F24" i="35"/>
  <c r="G24" i="35" s="1"/>
  <c r="M16" i="35"/>
  <c r="D24" i="35"/>
  <c r="E24" i="35" s="1"/>
  <c r="E21" i="35"/>
  <c r="D23" i="35"/>
  <c r="I21" i="35"/>
  <c r="H23" i="35"/>
  <c r="M47" i="35"/>
  <c r="L24" i="35"/>
  <c r="M24" i="35" s="1"/>
  <c r="K23" i="35"/>
  <c r="N24" i="35"/>
  <c r="O47" i="35"/>
  <c r="H24" i="35"/>
  <c r="I24" i="35" s="1"/>
  <c r="G21" i="35"/>
  <c r="F23" i="35"/>
  <c r="K47" i="35"/>
  <c r="J24" i="35"/>
  <c r="K24" i="35" s="1"/>
  <c r="J25" i="35" l="1"/>
  <c r="K25" i="35"/>
  <c r="I23" i="35"/>
  <c r="I25" i="35" s="1"/>
  <c r="H25" i="35"/>
  <c r="F25" i="35"/>
  <c r="G23" i="35"/>
  <c r="G25" i="35" s="1"/>
  <c r="E23" i="35"/>
  <c r="E25" i="35" s="1"/>
  <c r="D25" i="35"/>
  <c r="M25" i="35"/>
  <c r="O24" i="35"/>
  <c r="O25" i="35" s="1"/>
  <c r="N25" i="35"/>
  <c r="L25" i="35"/>
</calcChain>
</file>

<file path=xl/sharedStrings.xml><?xml version="1.0" encoding="utf-8"?>
<sst xmlns="http://schemas.openxmlformats.org/spreadsheetml/2006/main" count="283" uniqueCount="115">
  <si>
    <t>DESCRIÇAO DA DESPESA</t>
  </si>
  <si>
    <t xml:space="preserve">EFICAZ </t>
  </si>
  <si>
    <t>PORTO</t>
  </si>
  <si>
    <t>FORNECEDORES</t>
  </si>
  <si>
    <t>TARIFAS BANCARIAS</t>
  </si>
  <si>
    <t>JUROS DE BOLETO</t>
  </si>
  <si>
    <t>ENERGIA ELETRICA</t>
  </si>
  <si>
    <t>AGUA</t>
  </si>
  <si>
    <t>COMBUSTIVEL</t>
  </si>
  <si>
    <t>CONTADOR</t>
  </si>
  <si>
    <t>DESPESAS C/ VIAGENS</t>
  </si>
  <si>
    <t>FRETES</t>
  </si>
  <si>
    <t>INTERNET</t>
  </si>
  <si>
    <t>LANCHES</t>
  </si>
  <si>
    <t>MAT. DE ESCRITORIO</t>
  </si>
  <si>
    <t>MAT. DE LABORATORIO</t>
  </si>
  <si>
    <t>MAT. DE LIMPEZA</t>
  </si>
  <si>
    <t>CORREIOS</t>
  </si>
  <si>
    <t>TELEFONE</t>
  </si>
  <si>
    <t>SALARIOS COLABORADORES</t>
  </si>
  <si>
    <t>PRO LABORE WAGNER</t>
  </si>
  <si>
    <t>TOTAL DA DESPESA</t>
  </si>
  <si>
    <t>ISS</t>
  </si>
  <si>
    <t>IPTU</t>
  </si>
  <si>
    <t>ALUGUEL</t>
  </si>
  <si>
    <t>MANUTENÇAO DE VEICULOS</t>
  </si>
  <si>
    <t>SINDICATO</t>
  </si>
  <si>
    <t>FÉRIAS</t>
  </si>
  <si>
    <t>INSS</t>
  </si>
  <si>
    <t>FGTS</t>
  </si>
  <si>
    <t>13º SALARIO</t>
  </si>
  <si>
    <t>PARCELAMENTOS ESTADUAL</t>
  </si>
  <si>
    <t>EMPRESTIMOS</t>
  </si>
  <si>
    <t>DESPESAS OPERACIONAIS</t>
  </si>
  <si>
    <t>TOTAL</t>
  </si>
  <si>
    <t xml:space="preserve">FATURAMENTO </t>
  </si>
  <si>
    <t>PEÇAS</t>
  </si>
  <si>
    <t>SERVIÇO</t>
  </si>
  <si>
    <t>EFICAZ</t>
  </si>
  <si>
    <t>EQUIPAMENTOS</t>
  </si>
  <si>
    <t>COMISSOES VENDA</t>
  </si>
  <si>
    <t>MENSALIDADES</t>
  </si>
  <si>
    <t>MANUTEÇAO DE SITES</t>
  </si>
  <si>
    <t>COLABORADORES  OPERACIONAIS</t>
  </si>
  <si>
    <t>OUTROS SERVIÇOS(FAXINA, CONSERTOS EM GERAL,CONSULTORIAS)</t>
  </si>
  <si>
    <t>TRANSFERENCIAS/estoque</t>
  </si>
  <si>
    <t>ACORDO FORNECEDORES</t>
  </si>
  <si>
    <t>VENDA DE  SISTEMA</t>
  </si>
  <si>
    <t>MENSALIDADE DE RELOGIO DE PONTO</t>
  </si>
  <si>
    <t>TOTAL DAS RECEITAS</t>
  </si>
  <si>
    <t>DESCRIÇAO DAS RECEITAS</t>
  </si>
  <si>
    <t>ALVARA FUNCIONAMENTO</t>
  </si>
  <si>
    <t>TAXAS DE INCENDIO</t>
  </si>
  <si>
    <t>PARCELAMENTO MUNICIPAL</t>
  </si>
  <si>
    <t>REFORMAS</t>
  </si>
  <si>
    <t>RESCISOES</t>
  </si>
  <si>
    <t>CONTRATOS DE SERVIÇOS</t>
  </si>
  <si>
    <t>AV%</t>
  </si>
  <si>
    <t>PIRAPORA</t>
  </si>
  <si>
    <t>MONTES CLAROS</t>
  </si>
  <si>
    <t>UNAI</t>
  </si>
  <si>
    <t>CURVELO</t>
  </si>
  <si>
    <t>JOAO PINHEIRO</t>
  </si>
  <si>
    <t>DESPESAS COM PESSOAL( MED SOCIAL)</t>
  </si>
  <si>
    <t>%</t>
  </si>
  <si>
    <t xml:space="preserve"> JOAO PINHEIRO</t>
  </si>
  <si>
    <t>CUSTOS VARIÁVEIS</t>
  </si>
  <si>
    <t>TOTAL CUSTOS VARIÁVEIS</t>
  </si>
  <si>
    <t>TOTAL DESPESAS FIXAS</t>
  </si>
  <si>
    <t xml:space="preserve"> PIRAPORA</t>
  </si>
  <si>
    <t xml:space="preserve"> UNAI</t>
  </si>
  <si>
    <t>ICMS</t>
  </si>
  <si>
    <t>RESULTADO</t>
  </si>
  <si>
    <t>COMISSOES INTERNA</t>
  </si>
  <si>
    <t>IPVA</t>
  </si>
  <si>
    <t>MARGEM DE CONTRIBUIÇÃO</t>
  </si>
  <si>
    <t xml:space="preserve">PLANILHA DE FECHAMENTO MENSAL  </t>
  </si>
  <si>
    <t>MARKETING</t>
  </si>
  <si>
    <t xml:space="preserve">notas emitidas </t>
  </si>
  <si>
    <t>ESTOQUE Porto</t>
  </si>
  <si>
    <t>ESTOQUE Arilmaq</t>
  </si>
  <si>
    <t>CONSULTORIA</t>
  </si>
  <si>
    <t>PARCELAMENTOS INSS</t>
  </si>
  <si>
    <t>arilmaq</t>
  </si>
  <si>
    <t>eficaz</t>
  </si>
  <si>
    <t>porto</t>
  </si>
  <si>
    <t>antecipaçao</t>
  </si>
  <si>
    <t>valor</t>
  </si>
  <si>
    <t>iof</t>
  </si>
  <si>
    <t>juros</t>
  </si>
  <si>
    <t>tarifas</t>
  </si>
  <si>
    <t>cartoes</t>
  </si>
  <si>
    <t>bordero</t>
  </si>
  <si>
    <t>banco brasil</t>
  </si>
  <si>
    <t>cielo</t>
  </si>
  <si>
    <t>stone</t>
  </si>
  <si>
    <t>total</t>
  </si>
  <si>
    <t>total de tarifas</t>
  </si>
  <si>
    <t>25 borderos</t>
  </si>
  <si>
    <t>20 borderos</t>
  </si>
  <si>
    <t>19 borderos</t>
  </si>
  <si>
    <t>serviços de terceiros</t>
  </si>
  <si>
    <t>moc----conserto de ar condicionado/aluguel de coletores de dados</t>
  </si>
  <si>
    <t>pirapora----alexandre R$200,00...advogadoR$1250,00...faxina 325,00</t>
  </si>
  <si>
    <t>eficaz-----alexandre R$200,00....faxinaR$325,00....regivaldoR$1100,00</t>
  </si>
  <si>
    <t>cvo-------alarme</t>
  </si>
  <si>
    <t>CAP. EMPRESTIMO</t>
  </si>
  <si>
    <t>18 borderos</t>
  </si>
  <si>
    <t>15 borderos</t>
  </si>
  <si>
    <t>11 borderos</t>
  </si>
  <si>
    <t xml:space="preserve"> </t>
  </si>
  <si>
    <t>TARIFAS CARTOA DE CREDITO</t>
  </si>
  <si>
    <t>valor antecipado</t>
  </si>
  <si>
    <t>wagner</t>
  </si>
  <si>
    <t>PLANILHA DE FECHAMENTO MENSAL  MAIO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</si>
</sst>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BFFD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1" fillId="0" borderId="1" xfId="0" applyFont="1" applyBorder="1"/>
    <xf numFmtId="44" fontId="1" fillId="0" borderId="1" xfId="0" applyNumberFormat="1" applyFont="1" applyBorder="1"/>
    <xf numFmtId="0" fontId="1" fillId="3" borderId="1" xfId="0" applyFont="1" applyFill="1" applyBorder="1"/>
    <xf numFmtId="4" fontId="0" fillId="0" borderId="0" xfId="0" applyNumberFormat="1"/>
    <xf numFmtId="4" fontId="0" fillId="0" borderId="1" xfId="0" applyNumberFormat="1" applyBorder="1"/>
    <xf numFmtId="10" fontId="0" fillId="0" borderId="1" xfId="1" applyNumberFormat="1" applyFont="1" applyBorder="1"/>
    <xf numFmtId="10" fontId="1" fillId="0" borderId="1" xfId="1" applyNumberFormat="1" applyFont="1" applyBorder="1"/>
    <xf numFmtId="10" fontId="1" fillId="4" borderId="5" xfId="1" applyNumberFormat="1" applyFont="1" applyFill="1" applyBorder="1"/>
    <xf numFmtId="10" fontId="1" fillId="4" borderId="6" xfId="1" applyNumberFormat="1" applyFont="1" applyFill="1" applyBorder="1"/>
    <xf numFmtId="44" fontId="0" fillId="5" borderId="1" xfId="1" applyFont="1" applyFill="1" applyBorder="1"/>
    <xf numFmtId="0" fontId="0" fillId="5" borderId="1" xfId="0" applyFill="1" applyBorder="1"/>
    <xf numFmtId="10" fontId="0" fillId="5" borderId="1" xfId="1" applyNumberFormat="1" applyFont="1" applyFill="1" applyBorder="1"/>
    <xf numFmtId="0" fontId="1" fillId="0" borderId="0" xfId="0" applyFont="1" applyBorder="1"/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3" fillId="0" borderId="1" xfId="0" applyFont="1" applyBorder="1"/>
    <xf numFmtId="44" fontId="3" fillId="0" borderId="1" xfId="0" applyNumberFormat="1" applyFont="1" applyBorder="1"/>
    <xf numFmtId="10" fontId="3" fillId="0" borderId="1" xfId="1" applyNumberFormat="1" applyFont="1" applyBorder="1"/>
    <xf numFmtId="0" fontId="3" fillId="0" borderId="0" xfId="0" applyFont="1"/>
    <xf numFmtId="44" fontId="1" fillId="0" borderId="0" xfId="1" applyNumberFormat="1" applyFont="1" applyBorder="1"/>
    <xf numFmtId="10" fontId="1" fillId="0" borderId="0" xfId="1" applyNumberFormat="1" applyFont="1" applyBorder="1"/>
    <xf numFmtId="10" fontId="1" fillId="0" borderId="7" xfId="1" applyNumberFormat="1" applyFont="1" applyBorder="1"/>
    <xf numFmtId="10" fontId="1" fillId="0" borderId="3" xfId="1" applyNumberFormat="1" applyFont="1" applyBorder="1"/>
    <xf numFmtId="0" fontId="1" fillId="0" borderId="2" xfId="0" applyFont="1" applyBorder="1"/>
    <xf numFmtId="44" fontId="1" fillId="0" borderId="7" xfId="1" applyNumberFormat="1" applyFont="1" applyBorder="1"/>
    <xf numFmtId="0" fontId="1" fillId="4" borderId="4" xfId="0" applyFont="1" applyFill="1" applyBorder="1"/>
    <xf numFmtId="44" fontId="1" fillId="4" borderId="5" xfId="1" applyNumberFormat="1" applyFont="1" applyFill="1" applyBorder="1"/>
    <xf numFmtId="0" fontId="1" fillId="6" borderId="4" xfId="0" applyFont="1" applyFill="1" applyBorder="1"/>
    <xf numFmtId="44" fontId="1" fillId="6" borderId="5" xfId="1" applyNumberFormat="1" applyFont="1" applyFill="1" applyBorder="1"/>
    <xf numFmtId="10" fontId="1" fillId="6" borderId="5" xfId="1" applyNumberFormat="1" applyFont="1" applyFill="1" applyBorder="1"/>
    <xf numFmtId="10" fontId="1" fillId="6" borderId="6" xfId="1" applyNumberFormat="1" applyFont="1" applyFill="1" applyBorder="1"/>
    <xf numFmtId="0" fontId="1" fillId="0" borderId="0" xfId="0" applyFont="1" applyFill="1" applyBorder="1"/>
    <xf numFmtId="44" fontId="1" fillId="0" borderId="0" xfId="1" applyNumberFormat="1" applyFont="1" applyFill="1" applyBorder="1"/>
    <xf numFmtId="10" fontId="1" fillId="0" borderId="0" xfId="1" applyNumberFormat="1" applyFont="1" applyFill="1" applyBorder="1"/>
    <xf numFmtId="0" fontId="1" fillId="0" borderId="0" xfId="0" applyFont="1" applyFill="1"/>
    <xf numFmtId="44" fontId="4" fillId="0" borderId="1" xfId="1" applyFont="1" applyBorder="1"/>
    <xf numFmtId="0" fontId="0" fillId="0" borderId="1" xfId="0" applyFill="1" applyBorder="1"/>
    <xf numFmtId="44" fontId="0" fillId="0" borderId="1" xfId="1" applyFont="1" applyFill="1" applyBorder="1"/>
    <xf numFmtId="10" fontId="0" fillId="0" borderId="1" xfId="1" applyNumberFormat="1" applyFont="1" applyFill="1" applyBorder="1"/>
    <xf numFmtId="8" fontId="0" fillId="0" borderId="1" xfId="1" applyNumberFormat="1" applyFont="1" applyBorder="1"/>
    <xf numFmtId="44" fontId="0" fillId="5" borderId="1" xfId="1" applyNumberFormat="1" applyFont="1" applyFill="1" applyBorder="1"/>
    <xf numFmtId="0" fontId="1" fillId="0" borderId="1" xfId="0" applyFont="1" applyFill="1" applyBorder="1"/>
    <xf numFmtId="44" fontId="1" fillId="0" borderId="1" xfId="1" applyNumberFormat="1" applyFont="1" applyFill="1" applyBorder="1"/>
    <xf numFmtId="10" fontId="1" fillId="0" borderId="1" xfId="1" applyNumberFormat="1" applyFont="1" applyFill="1" applyBorder="1"/>
    <xf numFmtId="0" fontId="1" fillId="0" borderId="1" xfId="1" applyNumberFormat="1" applyFont="1" applyFill="1" applyBorder="1"/>
    <xf numFmtId="0" fontId="1" fillId="0" borderId="0" xfId="1" applyNumberFormat="1" applyFont="1" applyFill="1" applyBorder="1"/>
    <xf numFmtId="0" fontId="1" fillId="0" borderId="9" xfId="0" applyFont="1" applyFill="1" applyBorder="1"/>
    <xf numFmtId="0" fontId="1" fillId="0" borderId="10" xfId="0" applyFont="1" applyFill="1" applyBorder="1"/>
    <xf numFmtId="44" fontId="1" fillId="0" borderId="8" xfId="1" applyNumberFormat="1" applyFont="1" applyFill="1" applyBorder="1"/>
    <xf numFmtId="0" fontId="1" fillId="3" borderId="12" xfId="0" applyFont="1" applyFill="1" applyBorder="1"/>
    <xf numFmtId="44" fontId="1" fillId="0" borderId="1" xfId="1" applyFont="1" applyFill="1" applyBorder="1"/>
    <xf numFmtId="44" fontId="1" fillId="0" borderId="0" xfId="1" applyFont="1" applyFill="1" applyBorder="1"/>
    <xf numFmtId="44" fontId="2" fillId="0" borderId="1" xfId="1" applyFont="1" applyFill="1" applyBorder="1"/>
    <xf numFmtId="44" fontId="2" fillId="0" borderId="1" xfId="1" applyNumberFormat="1" applyFont="1" applyFill="1" applyBorder="1"/>
    <xf numFmtId="10" fontId="2" fillId="0" borderId="1" xfId="1" applyNumberFormat="1" applyFont="1" applyFill="1" applyBorder="1"/>
    <xf numFmtId="44" fontId="1" fillId="3" borderId="1" xfId="1" applyNumberFormat="1" applyFont="1" applyFill="1" applyBorder="1"/>
    <xf numFmtId="10" fontId="1" fillId="3" borderId="1" xfId="1" applyNumberFormat="1" applyFont="1" applyFill="1" applyBorder="1"/>
    <xf numFmtId="0" fontId="1" fillId="3" borderId="1" xfId="1" applyNumberFormat="1" applyFont="1" applyFill="1" applyBorder="1"/>
    <xf numFmtId="0" fontId="7" fillId="3" borderId="1" xfId="0" applyFont="1" applyFill="1" applyBorder="1"/>
    <xf numFmtId="44" fontId="2" fillId="3" borderId="1" xfId="1" applyFont="1" applyFill="1" applyBorder="1"/>
    <xf numFmtId="10" fontId="2" fillId="0" borderId="0" xfId="1" applyNumberFormat="1" applyFont="1" applyFill="1" applyBorder="1"/>
    <xf numFmtId="44" fontId="2" fillId="0" borderId="0" xfId="1" applyNumberFormat="1" applyFont="1" applyFill="1" applyBorder="1"/>
    <xf numFmtId="44" fontId="2" fillId="0" borderId="0" xfId="1" applyFont="1" applyFill="1" applyBorder="1"/>
    <xf numFmtId="0" fontId="1" fillId="0" borderId="13" xfId="0" applyFont="1" applyFill="1" applyBorder="1"/>
    <xf numFmtId="44" fontId="1" fillId="0" borderId="14" xfId="1" applyNumberFormat="1" applyFont="1" applyFill="1" applyBorder="1"/>
    <xf numFmtId="10" fontId="1" fillId="0" borderId="14" xfId="1" applyNumberFormat="1" applyFont="1" applyFill="1" applyBorder="1"/>
    <xf numFmtId="10" fontId="1" fillId="0" borderId="15" xfId="1" applyNumberFormat="1" applyFont="1" applyFill="1" applyBorder="1"/>
    <xf numFmtId="0" fontId="0" fillId="0" borderId="0" xfId="0" applyFont="1"/>
    <xf numFmtId="10" fontId="1" fillId="0" borderId="9" xfId="1" applyNumberFormat="1" applyFont="1" applyFill="1" applyBorder="1"/>
    <xf numFmtId="0" fontId="1" fillId="0" borderId="16" xfId="0" applyFont="1" applyFill="1" applyBorder="1"/>
    <xf numFmtId="44" fontId="1" fillId="0" borderId="17" xfId="1" applyNumberFormat="1" applyFont="1" applyFill="1" applyBorder="1"/>
    <xf numFmtId="10" fontId="1" fillId="0" borderId="17" xfId="1" applyNumberFormat="1" applyFont="1" applyFill="1" applyBorder="1"/>
    <xf numFmtId="10" fontId="1" fillId="0" borderId="18" xfId="1" applyNumberFormat="1" applyFont="1" applyFill="1" applyBorder="1"/>
    <xf numFmtId="0" fontId="1" fillId="0" borderId="13" xfId="1" applyNumberFormat="1" applyFont="1" applyFill="1" applyBorder="1"/>
    <xf numFmtId="44" fontId="1" fillId="0" borderId="13" xfId="1" applyNumberFormat="1" applyFont="1" applyFill="1" applyBorder="1"/>
    <xf numFmtId="0" fontId="1" fillId="0" borderId="9" xfId="1" applyNumberFormat="1" applyFont="1" applyFill="1" applyBorder="1"/>
    <xf numFmtId="44" fontId="8" fillId="0" borderId="1" xfId="1" applyFont="1" applyFill="1" applyBorder="1"/>
    <xf numFmtId="44" fontId="9" fillId="0" borderId="1" xfId="1" applyFont="1" applyFill="1" applyBorder="1"/>
    <xf numFmtId="44" fontId="9" fillId="0" borderId="13" xfId="1" applyNumberFormat="1" applyFont="1" applyFill="1" applyBorder="1"/>
    <xf numFmtId="44" fontId="7" fillId="7" borderId="1" xfId="1" applyFont="1" applyFill="1" applyBorder="1"/>
    <xf numFmtId="44" fontId="7" fillId="7" borderId="1" xfId="1" applyNumberFormat="1" applyFont="1" applyFill="1" applyBorder="1"/>
    <xf numFmtId="44" fontId="0" fillId="0" borderId="0" xfId="0" applyNumberFormat="1"/>
    <xf numFmtId="10" fontId="0" fillId="0" borderId="11" xfId="1" applyNumberFormat="1" applyFont="1" applyFill="1" applyBorder="1"/>
    <xf numFmtId="44" fontId="4" fillId="0" borderId="1" xfId="1" applyFont="1" applyFill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7">
    <cellStyle name="Moeda" xfId="1" builtinId="4"/>
    <cellStyle name="Moeda 2" xfId="3"/>
    <cellStyle name="Moeda 3" xfId="6"/>
    <cellStyle name="Normal" xfId="0" builtinId="0"/>
    <cellStyle name="Normal 2" xfId="2"/>
    <cellStyle name="Normal 3" xfId="5"/>
    <cellStyle name="Porcentagem 2" xfId="4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BFFD5"/>
      <color rgb="FF0FC762"/>
      <color rgb="FF0EC48C"/>
      <color rgb="FF00C462"/>
      <color rgb="FF00B85C"/>
      <color rgb="FF00CC66"/>
      <color rgb="FF339933"/>
      <color rgb="FF33CC33"/>
      <color rgb="FF3399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9"/>
  <sheetViews>
    <sheetView showGridLines="0" topLeftCell="A16" zoomScaleNormal="100" workbookViewId="0">
      <selection activeCell="B35" sqref="B35"/>
    </sheetView>
  </sheetViews>
  <sheetFormatPr defaultRowHeight="15" x14ac:dyDescent="0.25"/>
  <cols>
    <col min="1" max="1" width="32.140625" customWidth="1"/>
    <col min="2" max="2" width="24.28515625" bestFit="1" customWidth="1"/>
    <col min="3" max="3" width="14.85546875" customWidth="1"/>
    <col min="4" max="4" width="14.42578125" bestFit="1" customWidth="1"/>
    <col min="5" max="5" width="12.140625" bestFit="1" customWidth="1"/>
    <col min="6" max="6" width="16.28515625" bestFit="1" customWidth="1"/>
    <col min="7" max="7" width="14.85546875" customWidth="1"/>
    <col min="8" max="8" width="13.28515625" bestFit="1" customWidth="1"/>
    <col min="9" max="9" width="18.140625" customWidth="1"/>
    <col min="10" max="10" width="13.28515625" bestFit="1" customWidth="1"/>
    <col min="11" max="11" width="7.85546875" bestFit="1" customWidth="1"/>
    <col min="12" max="12" width="15.42578125" bestFit="1" customWidth="1"/>
    <col min="13" max="13" width="8.5703125" bestFit="1" customWidth="1"/>
    <col min="14" max="14" width="13.28515625" bestFit="1" customWidth="1"/>
    <col min="15" max="15" width="10.28515625" customWidth="1"/>
    <col min="16" max="16" width="12.140625" customWidth="1"/>
    <col min="17" max="17" width="10.7109375" customWidth="1"/>
  </cols>
  <sheetData>
    <row r="1" spans="1:17" x14ac:dyDescent="0.25">
      <c r="A1" s="87" t="s">
        <v>76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 x14ac:dyDescent="0.25">
      <c r="A2" s="88" t="s">
        <v>35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17" x14ac:dyDescent="0.25">
      <c r="A3" s="5" t="s">
        <v>50</v>
      </c>
      <c r="B3" s="5" t="s">
        <v>49</v>
      </c>
      <c r="C3" s="16" t="s">
        <v>57</v>
      </c>
      <c r="D3" s="5" t="s">
        <v>58</v>
      </c>
      <c r="E3" s="16" t="s">
        <v>57</v>
      </c>
      <c r="F3" s="5" t="s">
        <v>59</v>
      </c>
      <c r="G3" s="16" t="s">
        <v>57</v>
      </c>
      <c r="H3" s="5" t="s">
        <v>60</v>
      </c>
      <c r="I3" s="16" t="s">
        <v>57</v>
      </c>
      <c r="J3" s="5" t="s">
        <v>61</v>
      </c>
      <c r="K3" s="16" t="s">
        <v>57</v>
      </c>
      <c r="L3" s="5" t="s">
        <v>65</v>
      </c>
      <c r="M3" s="16" t="s">
        <v>57</v>
      </c>
      <c r="N3" s="5" t="s">
        <v>38</v>
      </c>
      <c r="O3" s="16" t="s">
        <v>57</v>
      </c>
      <c r="P3" s="5" t="s">
        <v>2</v>
      </c>
      <c r="Q3" s="16" t="s">
        <v>57</v>
      </c>
    </row>
    <row r="4" spans="1:17" s="17" customFormat="1" x14ac:dyDescent="0.25">
      <c r="A4" s="3" t="s">
        <v>34</v>
      </c>
      <c r="B4" s="4">
        <f>SUM(B5:B13)</f>
        <v>0</v>
      </c>
      <c r="C4" s="9" t="e">
        <f>B4/B$4</f>
        <v>#DIV/0!</v>
      </c>
      <c r="D4" s="4">
        <f>SUM(D5:D12)</f>
        <v>0</v>
      </c>
      <c r="E4" s="9" t="e">
        <f>D4/B$4</f>
        <v>#DIV/0!</v>
      </c>
      <c r="F4" s="4">
        <f>SUM(F5:F12)</f>
        <v>0</v>
      </c>
      <c r="G4" s="9" t="e">
        <f>F4/B4</f>
        <v>#DIV/0!</v>
      </c>
      <c r="H4" s="4">
        <f>SUM(H5:H12)</f>
        <v>0</v>
      </c>
      <c r="I4" s="9" t="e">
        <f>H4/B4</f>
        <v>#DIV/0!</v>
      </c>
      <c r="J4" s="4">
        <f>SUM(J5:J12)</f>
        <v>0</v>
      </c>
      <c r="K4" s="9" t="e">
        <f>J4/B4</f>
        <v>#DIV/0!</v>
      </c>
      <c r="L4" s="4">
        <f>SUM(L5:L12)</f>
        <v>0</v>
      </c>
      <c r="M4" s="9" t="e">
        <f>L4/B4</f>
        <v>#DIV/0!</v>
      </c>
      <c r="N4" s="4">
        <f>SUM(N5:N12)</f>
        <v>0</v>
      </c>
      <c r="O4" s="9" t="e">
        <f>N4/B4</f>
        <v>#DIV/0!</v>
      </c>
      <c r="P4" s="4">
        <f>SUM(P5:P12)</f>
        <v>0</v>
      </c>
      <c r="Q4" s="9" t="e">
        <f>P4/D4</f>
        <v>#DIV/0!</v>
      </c>
    </row>
    <row r="5" spans="1:17" x14ac:dyDescent="0.25">
      <c r="A5" s="1" t="s">
        <v>36</v>
      </c>
      <c r="B5" s="2">
        <f>D5+F5+H5+J5+L5+N5</f>
        <v>0</v>
      </c>
      <c r="C5" s="8" t="e">
        <f>B5/B$4</f>
        <v>#DIV/0!</v>
      </c>
      <c r="D5" s="2"/>
      <c r="E5" s="8" t="e">
        <f>D5/D$4</f>
        <v>#DIV/0!</v>
      </c>
      <c r="F5" s="7"/>
      <c r="G5" s="8" t="e">
        <f>F5/F$4</f>
        <v>#DIV/0!</v>
      </c>
      <c r="H5" s="7"/>
      <c r="I5" s="8" t="e">
        <f>H5/H$4</f>
        <v>#DIV/0!</v>
      </c>
      <c r="J5" s="6"/>
      <c r="K5" s="8" t="e">
        <f>J5/J$4</f>
        <v>#DIV/0!</v>
      </c>
      <c r="L5" s="1"/>
      <c r="M5" s="8" t="e">
        <f>L5/L$4</f>
        <v>#DIV/0!</v>
      </c>
      <c r="N5" s="2"/>
      <c r="O5" s="8" t="e">
        <f>N5/N$4</f>
        <v>#DIV/0!</v>
      </c>
      <c r="P5" s="2"/>
      <c r="Q5" s="8" t="e">
        <f>P5/P$4</f>
        <v>#DIV/0!</v>
      </c>
    </row>
    <row r="6" spans="1:17" x14ac:dyDescent="0.25">
      <c r="A6" s="1" t="s">
        <v>37</v>
      </c>
      <c r="B6" s="2">
        <f t="shared" ref="B6:B13" si="0">D6+F6+H6+J6+L6+N6</f>
        <v>0</v>
      </c>
      <c r="C6" s="8" t="e">
        <f t="shared" ref="C6:E13" si="1">B6/B$4</f>
        <v>#DIV/0!</v>
      </c>
      <c r="D6" s="2"/>
      <c r="E6" s="8" t="e">
        <f t="shared" si="1"/>
        <v>#DIV/0!</v>
      </c>
      <c r="F6" s="7"/>
      <c r="G6" s="8" t="e">
        <f t="shared" ref="G6:G13" si="2">F6/F$4</f>
        <v>#DIV/0!</v>
      </c>
      <c r="H6" s="7"/>
      <c r="I6" s="8" t="e">
        <f t="shared" ref="I6:I13" si="3">H6/H$4</f>
        <v>#DIV/0!</v>
      </c>
      <c r="J6" s="2"/>
      <c r="K6" s="8" t="e">
        <f t="shared" ref="K6:K13" si="4">J6/J$4</f>
        <v>#DIV/0!</v>
      </c>
      <c r="L6" s="1"/>
      <c r="M6" s="8" t="e">
        <f t="shared" ref="M6:M13" si="5">L6/L$4</f>
        <v>#DIV/0!</v>
      </c>
      <c r="N6" s="2"/>
      <c r="O6" s="8" t="e">
        <f t="shared" ref="O6:Q13" si="6">N6/N$4</f>
        <v>#DIV/0!</v>
      </c>
      <c r="P6" s="2"/>
      <c r="Q6" s="8" t="e">
        <f t="shared" si="6"/>
        <v>#DIV/0!</v>
      </c>
    </row>
    <row r="7" spans="1:17" x14ac:dyDescent="0.25">
      <c r="A7" s="1" t="s">
        <v>39</v>
      </c>
      <c r="B7" s="2">
        <f t="shared" si="0"/>
        <v>0</v>
      </c>
      <c r="C7" s="8" t="e">
        <f t="shared" si="1"/>
        <v>#DIV/0!</v>
      </c>
      <c r="D7" s="2"/>
      <c r="E7" s="8" t="e">
        <f t="shared" si="1"/>
        <v>#DIV/0!</v>
      </c>
      <c r="F7" s="42"/>
      <c r="G7" s="8" t="e">
        <f t="shared" si="2"/>
        <v>#DIV/0!</v>
      </c>
      <c r="H7" s="2"/>
      <c r="I7" s="8" t="e">
        <f t="shared" si="3"/>
        <v>#DIV/0!</v>
      </c>
      <c r="J7" s="2"/>
      <c r="K7" s="8" t="e">
        <f t="shared" si="4"/>
        <v>#DIV/0!</v>
      </c>
      <c r="L7" s="2"/>
      <c r="M7" s="8" t="e">
        <f t="shared" si="5"/>
        <v>#DIV/0!</v>
      </c>
      <c r="N7" s="2"/>
      <c r="O7" s="8" t="e">
        <f t="shared" si="6"/>
        <v>#DIV/0!</v>
      </c>
      <c r="P7" s="2"/>
      <c r="Q7" s="8" t="e">
        <f t="shared" si="6"/>
        <v>#DIV/0!</v>
      </c>
    </row>
    <row r="8" spans="1:17" x14ac:dyDescent="0.25">
      <c r="A8" s="1" t="s">
        <v>40</v>
      </c>
      <c r="B8" s="2">
        <f t="shared" si="0"/>
        <v>0</v>
      </c>
      <c r="C8" s="8" t="e">
        <f t="shared" si="1"/>
        <v>#DIV/0!</v>
      </c>
      <c r="D8" s="2"/>
      <c r="E8" s="8" t="e">
        <f t="shared" si="1"/>
        <v>#DIV/0!</v>
      </c>
      <c r="F8" s="2"/>
      <c r="G8" s="8" t="e">
        <f t="shared" si="2"/>
        <v>#DIV/0!</v>
      </c>
      <c r="H8" s="2"/>
      <c r="I8" s="8" t="e">
        <f t="shared" si="3"/>
        <v>#DIV/0!</v>
      </c>
      <c r="J8" s="2"/>
      <c r="K8" s="8" t="e">
        <f t="shared" si="4"/>
        <v>#DIV/0!</v>
      </c>
      <c r="L8" s="2"/>
      <c r="M8" s="8" t="e">
        <f t="shared" si="5"/>
        <v>#DIV/0!</v>
      </c>
      <c r="N8" s="2"/>
      <c r="O8" s="8" t="e">
        <f t="shared" si="6"/>
        <v>#DIV/0!</v>
      </c>
      <c r="P8" s="2"/>
      <c r="Q8" s="8" t="e">
        <f t="shared" si="6"/>
        <v>#DIV/0!</v>
      </c>
    </row>
    <row r="9" spans="1:17" x14ac:dyDescent="0.25">
      <c r="A9" s="1" t="s">
        <v>56</v>
      </c>
      <c r="B9" s="2">
        <f t="shared" si="0"/>
        <v>0</v>
      </c>
      <c r="C9" s="8" t="e">
        <f t="shared" si="1"/>
        <v>#DIV/0!</v>
      </c>
      <c r="D9" s="2"/>
      <c r="E9" s="8" t="e">
        <f t="shared" si="1"/>
        <v>#DIV/0!</v>
      </c>
      <c r="F9" s="2"/>
      <c r="G9" s="8" t="e">
        <f t="shared" si="2"/>
        <v>#DIV/0!</v>
      </c>
      <c r="H9" s="2"/>
      <c r="I9" s="8" t="e">
        <f t="shared" si="3"/>
        <v>#DIV/0!</v>
      </c>
      <c r="J9" s="2"/>
      <c r="K9" s="8" t="e">
        <f t="shared" si="4"/>
        <v>#DIV/0!</v>
      </c>
      <c r="L9" s="2"/>
      <c r="M9" s="8" t="e">
        <f t="shared" si="5"/>
        <v>#DIV/0!</v>
      </c>
      <c r="N9" s="2"/>
      <c r="O9" s="8" t="e">
        <f t="shared" si="6"/>
        <v>#DIV/0!</v>
      </c>
      <c r="P9" s="2"/>
      <c r="Q9" s="8" t="e">
        <f t="shared" si="6"/>
        <v>#DIV/0!</v>
      </c>
    </row>
    <row r="10" spans="1:17" x14ac:dyDescent="0.25">
      <c r="A10" s="1" t="s">
        <v>48</v>
      </c>
      <c r="B10" s="2">
        <f t="shared" si="0"/>
        <v>0</v>
      </c>
      <c r="C10" s="8" t="e">
        <f t="shared" si="1"/>
        <v>#DIV/0!</v>
      </c>
      <c r="D10" s="2"/>
      <c r="E10" s="8" t="e">
        <f t="shared" si="1"/>
        <v>#DIV/0!</v>
      </c>
      <c r="F10" s="2"/>
      <c r="G10" s="8" t="e">
        <f t="shared" si="2"/>
        <v>#DIV/0!</v>
      </c>
      <c r="H10" s="2"/>
      <c r="I10" s="8" t="e">
        <f t="shared" si="3"/>
        <v>#DIV/0!</v>
      </c>
      <c r="J10" s="2"/>
      <c r="K10" s="8" t="e">
        <f t="shared" si="4"/>
        <v>#DIV/0!</v>
      </c>
      <c r="L10" s="2"/>
      <c r="M10" s="8" t="e">
        <f t="shared" si="5"/>
        <v>#DIV/0!</v>
      </c>
      <c r="N10" s="2"/>
      <c r="O10" s="8" t="e">
        <f t="shared" si="6"/>
        <v>#DIV/0!</v>
      </c>
      <c r="P10" s="2"/>
      <c r="Q10" s="8" t="e">
        <f t="shared" si="6"/>
        <v>#DIV/0!</v>
      </c>
    </row>
    <row r="11" spans="1:17" x14ac:dyDescent="0.25">
      <c r="A11" s="1" t="s">
        <v>47</v>
      </c>
      <c r="B11" s="2">
        <f t="shared" si="0"/>
        <v>0</v>
      </c>
      <c r="C11" s="8" t="e">
        <f t="shared" si="1"/>
        <v>#DIV/0!</v>
      </c>
      <c r="D11" s="2"/>
      <c r="E11" s="8" t="e">
        <f t="shared" si="1"/>
        <v>#DIV/0!</v>
      </c>
      <c r="F11" s="2"/>
      <c r="G11" s="8" t="e">
        <f t="shared" si="2"/>
        <v>#DIV/0!</v>
      </c>
      <c r="H11" s="2"/>
      <c r="I11" s="8" t="e">
        <f t="shared" si="3"/>
        <v>#DIV/0!</v>
      </c>
      <c r="J11" s="2"/>
      <c r="K11" s="8" t="e">
        <f t="shared" si="4"/>
        <v>#DIV/0!</v>
      </c>
      <c r="L11" s="2"/>
      <c r="M11" s="8" t="e">
        <f t="shared" si="5"/>
        <v>#DIV/0!</v>
      </c>
      <c r="N11" s="2"/>
      <c r="O11" s="8" t="e">
        <f t="shared" si="6"/>
        <v>#DIV/0!</v>
      </c>
      <c r="P11" s="2">
        <v>0</v>
      </c>
      <c r="Q11" s="8" t="e">
        <f t="shared" si="6"/>
        <v>#DIV/0!</v>
      </c>
    </row>
    <row r="12" spans="1:17" x14ac:dyDescent="0.25">
      <c r="A12" s="1" t="s">
        <v>41</v>
      </c>
      <c r="B12" s="2">
        <f t="shared" si="0"/>
        <v>0</v>
      </c>
      <c r="C12" s="8" t="e">
        <f t="shared" si="1"/>
        <v>#DIV/0!</v>
      </c>
      <c r="D12" s="2"/>
      <c r="E12" s="8" t="e">
        <f t="shared" si="1"/>
        <v>#DIV/0!</v>
      </c>
      <c r="F12" s="2"/>
      <c r="G12" s="8" t="e">
        <f t="shared" si="2"/>
        <v>#DIV/0!</v>
      </c>
      <c r="H12" s="2"/>
      <c r="I12" s="8" t="e">
        <f t="shared" si="3"/>
        <v>#DIV/0!</v>
      </c>
      <c r="J12" s="2"/>
      <c r="K12" s="8" t="e">
        <f t="shared" si="4"/>
        <v>#DIV/0!</v>
      </c>
      <c r="L12" s="2"/>
      <c r="M12" s="8" t="e">
        <f t="shared" si="5"/>
        <v>#DIV/0!</v>
      </c>
      <c r="N12" s="2"/>
      <c r="O12" s="8" t="e">
        <f t="shared" si="6"/>
        <v>#DIV/0!</v>
      </c>
      <c r="P12" s="2"/>
      <c r="Q12" s="8" t="e">
        <f t="shared" si="6"/>
        <v>#DIV/0!</v>
      </c>
    </row>
    <row r="13" spans="1:17" x14ac:dyDescent="0.25">
      <c r="A13" s="1" t="s">
        <v>106</v>
      </c>
      <c r="B13" s="2">
        <f t="shared" si="0"/>
        <v>0</v>
      </c>
      <c r="C13" s="8" t="e">
        <f t="shared" si="1"/>
        <v>#DIV/0!</v>
      </c>
      <c r="D13" s="2"/>
      <c r="E13" s="8" t="e">
        <f t="shared" si="1"/>
        <v>#DIV/0!</v>
      </c>
      <c r="F13" s="2"/>
      <c r="G13" s="8" t="e">
        <f t="shared" si="2"/>
        <v>#DIV/0!</v>
      </c>
      <c r="H13" s="2"/>
      <c r="I13" s="8" t="e">
        <f t="shared" si="3"/>
        <v>#DIV/0!</v>
      </c>
      <c r="J13" s="2"/>
      <c r="K13" s="8" t="e">
        <f t="shared" si="4"/>
        <v>#DIV/0!</v>
      </c>
      <c r="L13" s="2"/>
      <c r="M13" s="8" t="e">
        <f t="shared" si="5"/>
        <v>#DIV/0!</v>
      </c>
      <c r="N13" s="2"/>
      <c r="O13" s="8" t="e">
        <f t="shared" si="6"/>
        <v>#DIV/0!</v>
      </c>
      <c r="P13" s="2"/>
      <c r="Q13" s="8" t="e">
        <f t="shared" si="6"/>
        <v>#DIV/0!</v>
      </c>
    </row>
    <row r="14" spans="1:17" s="21" customFormat="1" x14ac:dyDescent="0.25">
      <c r="A14" s="18" t="s">
        <v>34</v>
      </c>
      <c r="B14" s="19">
        <f>D14+F14+H14+J14+L14</f>
        <v>0</v>
      </c>
      <c r="C14" s="20" t="e">
        <f>B14/B$4</f>
        <v>#DIV/0!</v>
      </c>
      <c r="D14" s="19">
        <f>SUM(D5:D13)</f>
        <v>0</v>
      </c>
      <c r="E14" s="20" t="e">
        <f>D14/B14</f>
        <v>#DIV/0!</v>
      </c>
      <c r="F14" s="19">
        <f>SUM(F5:F13)</f>
        <v>0</v>
      </c>
      <c r="G14" s="20" t="e">
        <f>F14/B14</f>
        <v>#DIV/0!</v>
      </c>
      <c r="H14" s="19">
        <f>SUM(H5:H13)</f>
        <v>0</v>
      </c>
      <c r="I14" s="20" t="e">
        <f>H14/B14</f>
        <v>#DIV/0!</v>
      </c>
      <c r="J14" s="19">
        <f>SUM(J5:J13)</f>
        <v>0</v>
      </c>
      <c r="K14" s="20" t="e">
        <f>J14/B14</f>
        <v>#DIV/0!</v>
      </c>
      <c r="L14" s="19">
        <f>SUM(L5:L13)</f>
        <v>0</v>
      </c>
      <c r="M14" s="20" t="e">
        <f>L14/B14</f>
        <v>#DIV/0!</v>
      </c>
      <c r="N14" s="19">
        <f>SUM(N5:N13)</f>
        <v>0</v>
      </c>
      <c r="O14" s="20" t="e">
        <f>N14/B14</f>
        <v>#DIV/0!</v>
      </c>
      <c r="P14" s="19">
        <f>SUM(P15:P21)</f>
        <v>0</v>
      </c>
      <c r="Q14" s="20" t="e">
        <f>P14/D14</f>
        <v>#DIV/0!</v>
      </c>
    </row>
    <row r="15" spans="1:17" x14ac:dyDescent="0.25">
      <c r="A15" s="5" t="s">
        <v>66</v>
      </c>
      <c r="B15" s="5" t="s">
        <v>67</v>
      </c>
      <c r="C15" s="16" t="s">
        <v>64</v>
      </c>
      <c r="D15" s="5" t="s">
        <v>58</v>
      </c>
      <c r="E15" s="16" t="s">
        <v>64</v>
      </c>
      <c r="F15" s="5" t="s">
        <v>59</v>
      </c>
      <c r="G15" s="16" t="s">
        <v>64</v>
      </c>
      <c r="H15" s="5" t="s">
        <v>60</v>
      </c>
      <c r="I15" s="16" t="s">
        <v>64</v>
      </c>
      <c r="J15" s="5" t="s">
        <v>61</v>
      </c>
      <c r="K15" s="16" t="s">
        <v>64</v>
      </c>
      <c r="L15" s="5" t="s">
        <v>65</v>
      </c>
      <c r="M15" s="16" t="s">
        <v>64</v>
      </c>
      <c r="N15" s="5" t="s">
        <v>38</v>
      </c>
      <c r="O15" s="16" t="s">
        <v>64</v>
      </c>
      <c r="P15" s="5" t="s">
        <v>2</v>
      </c>
      <c r="Q15" s="16" t="s">
        <v>64</v>
      </c>
    </row>
    <row r="16" spans="1:17" x14ac:dyDescent="0.25">
      <c r="A16" s="13" t="s">
        <v>71</v>
      </c>
      <c r="B16" s="12"/>
      <c r="C16" s="14" t="e">
        <f t="shared" ref="C16:C21" si="7">B16/B$4</f>
        <v>#DIV/0!</v>
      </c>
      <c r="D16" s="12" t="e">
        <f>B16*E14</f>
        <v>#DIV/0!</v>
      </c>
      <c r="E16" s="14" t="e">
        <f t="shared" ref="E16:E23" si="8">D16/D$4</f>
        <v>#DIV/0!</v>
      </c>
      <c r="F16" s="12" t="e">
        <f>B16*G14</f>
        <v>#DIV/0!</v>
      </c>
      <c r="G16" s="14" t="e">
        <f t="shared" ref="G16:G23" si="9">F16/F$4</f>
        <v>#DIV/0!</v>
      </c>
      <c r="H16" s="12" t="e">
        <f>B16*I14</f>
        <v>#DIV/0!</v>
      </c>
      <c r="I16" s="14" t="e">
        <f t="shared" ref="I16:I23" si="10">H16/H$4</f>
        <v>#DIV/0!</v>
      </c>
      <c r="J16" s="12" t="e">
        <f>B16*K14</f>
        <v>#DIV/0!</v>
      </c>
      <c r="K16" s="14" t="e">
        <f t="shared" ref="K16:K23" si="11">J16/J$4</f>
        <v>#DIV/0!</v>
      </c>
      <c r="L16" s="12" t="e">
        <f>B16*M14</f>
        <v>#DIV/0!</v>
      </c>
      <c r="M16" s="14" t="e">
        <f t="shared" ref="M16:M23" si="12">L16/L$4</f>
        <v>#DIV/0!</v>
      </c>
      <c r="N16" s="12">
        <v>0</v>
      </c>
      <c r="O16" s="14" t="e">
        <f t="shared" ref="O16:Q23" si="13">N16/N$4</f>
        <v>#DIV/0!</v>
      </c>
      <c r="P16" s="12"/>
      <c r="Q16" s="14" t="e">
        <f>P16/P$4</f>
        <v>#DIV/0!</v>
      </c>
    </row>
    <row r="17" spans="1:17" x14ac:dyDescent="0.25">
      <c r="A17" s="13" t="s">
        <v>3</v>
      </c>
      <c r="B17" s="12"/>
      <c r="C17" s="14" t="e">
        <f t="shared" si="7"/>
        <v>#DIV/0!</v>
      </c>
      <c r="D17" s="12">
        <f>B17-F18-H18-J18-L18</f>
        <v>0</v>
      </c>
      <c r="E17" s="14" t="e">
        <f t="shared" si="8"/>
        <v>#DIV/0!</v>
      </c>
      <c r="F17" s="40"/>
      <c r="G17" s="41" t="e">
        <f t="shared" si="9"/>
        <v>#DIV/0!</v>
      </c>
      <c r="H17" s="40"/>
      <c r="I17" s="41" t="e">
        <f t="shared" si="10"/>
        <v>#DIV/0!</v>
      </c>
      <c r="J17" s="40"/>
      <c r="K17" s="41" t="e">
        <f t="shared" si="11"/>
        <v>#DIV/0!</v>
      </c>
      <c r="L17" s="40"/>
      <c r="M17" s="41" t="e">
        <f t="shared" si="12"/>
        <v>#DIV/0!</v>
      </c>
      <c r="N17" s="40">
        <v>0</v>
      </c>
      <c r="O17" s="41" t="e">
        <f t="shared" si="13"/>
        <v>#DIV/0!</v>
      </c>
      <c r="P17" s="39"/>
      <c r="Q17" s="41" t="e">
        <f t="shared" si="13"/>
        <v>#DIV/0!</v>
      </c>
    </row>
    <row r="18" spans="1:17" x14ac:dyDescent="0.25">
      <c r="A18" s="1" t="s">
        <v>45</v>
      </c>
      <c r="B18" s="2"/>
      <c r="C18" s="8" t="e">
        <f t="shared" si="7"/>
        <v>#DIV/0!</v>
      </c>
      <c r="D18" s="2"/>
      <c r="E18" s="8" t="e">
        <f t="shared" si="8"/>
        <v>#DIV/0!</v>
      </c>
      <c r="F18" s="2"/>
      <c r="G18" s="8" t="e">
        <f t="shared" si="9"/>
        <v>#DIV/0!</v>
      </c>
      <c r="H18" s="2"/>
      <c r="I18" s="8" t="e">
        <f t="shared" si="10"/>
        <v>#DIV/0!</v>
      </c>
      <c r="J18" s="2"/>
      <c r="K18" s="8" t="e">
        <f t="shared" si="11"/>
        <v>#DIV/0!</v>
      </c>
      <c r="L18" s="2"/>
      <c r="M18" s="8" t="e">
        <f t="shared" si="12"/>
        <v>#DIV/0!</v>
      </c>
      <c r="N18" s="2">
        <v>0</v>
      </c>
      <c r="O18" s="8" t="e">
        <f t="shared" si="13"/>
        <v>#DIV/0!</v>
      </c>
      <c r="P18" s="2"/>
      <c r="Q18" s="8" t="e">
        <f t="shared" si="13"/>
        <v>#DIV/0!</v>
      </c>
    </row>
    <row r="19" spans="1:17" x14ac:dyDescent="0.25">
      <c r="A19" s="1" t="s">
        <v>22</v>
      </c>
      <c r="B19" s="2">
        <f>D19+F19+H19+J19+L19+N19</f>
        <v>0</v>
      </c>
      <c r="C19" s="8" t="e">
        <f t="shared" si="7"/>
        <v>#DIV/0!</v>
      </c>
      <c r="D19" s="2"/>
      <c r="E19" s="8" t="e">
        <f t="shared" si="8"/>
        <v>#DIV/0!</v>
      </c>
      <c r="F19" s="2"/>
      <c r="G19" s="8" t="e">
        <f t="shared" si="9"/>
        <v>#DIV/0!</v>
      </c>
      <c r="H19" s="2"/>
      <c r="I19" s="8" t="e">
        <f t="shared" si="10"/>
        <v>#DIV/0!</v>
      </c>
      <c r="J19" s="2"/>
      <c r="K19" s="8" t="e">
        <f t="shared" si="11"/>
        <v>#DIV/0!</v>
      </c>
      <c r="L19" s="2"/>
      <c r="M19" s="8" t="e">
        <f t="shared" si="12"/>
        <v>#DIV/0!</v>
      </c>
      <c r="N19" s="2">
        <v>0</v>
      </c>
      <c r="O19" s="8"/>
      <c r="P19" s="2"/>
      <c r="Q19" s="8"/>
    </row>
    <row r="20" spans="1:17" ht="15.75" thickBot="1" x14ac:dyDescent="0.3">
      <c r="A20" s="1" t="s">
        <v>73</v>
      </c>
      <c r="B20" s="2">
        <f>D20+F20+H20+J20+L20+N20</f>
        <v>0</v>
      </c>
      <c r="C20" s="8" t="e">
        <f t="shared" si="7"/>
        <v>#DIV/0!</v>
      </c>
      <c r="D20" s="2"/>
      <c r="E20" s="8" t="e">
        <f t="shared" si="8"/>
        <v>#DIV/0!</v>
      </c>
      <c r="F20" s="2"/>
      <c r="G20" s="8" t="e">
        <f t="shared" si="9"/>
        <v>#DIV/0!</v>
      </c>
      <c r="H20" s="2"/>
      <c r="I20" s="8" t="e">
        <f t="shared" si="10"/>
        <v>#DIV/0!</v>
      </c>
      <c r="J20" s="2">
        <v>0</v>
      </c>
      <c r="K20" s="8" t="e">
        <f t="shared" si="11"/>
        <v>#DIV/0!</v>
      </c>
      <c r="L20" s="38"/>
      <c r="M20" s="8" t="e">
        <f t="shared" si="12"/>
        <v>#DIV/0!</v>
      </c>
      <c r="N20" s="2"/>
      <c r="O20" s="8" t="e">
        <f t="shared" si="13"/>
        <v>#DIV/0!</v>
      </c>
      <c r="P20" s="2"/>
      <c r="Q20" s="8" t="e">
        <f t="shared" si="13"/>
        <v>#DIV/0!</v>
      </c>
    </row>
    <row r="21" spans="1:17" s="17" customFormat="1" ht="15.75" thickBot="1" x14ac:dyDescent="0.3">
      <c r="A21" s="26" t="s">
        <v>67</v>
      </c>
      <c r="B21" s="27">
        <f>SUM(B16:B20)</f>
        <v>0</v>
      </c>
      <c r="C21" s="24" t="e">
        <f t="shared" si="7"/>
        <v>#DIV/0!</v>
      </c>
      <c r="D21" s="27" t="e">
        <f>SUM(D16:D20)</f>
        <v>#DIV/0!</v>
      </c>
      <c r="E21" s="24" t="e">
        <f t="shared" si="8"/>
        <v>#DIV/0!</v>
      </c>
      <c r="F21" s="27" t="e">
        <f>SUM(F16:F20)</f>
        <v>#DIV/0!</v>
      </c>
      <c r="G21" s="24" t="e">
        <f t="shared" si="9"/>
        <v>#DIV/0!</v>
      </c>
      <c r="H21" s="27" t="e">
        <f>SUM(H16:H20)</f>
        <v>#DIV/0!</v>
      </c>
      <c r="I21" s="24" t="e">
        <f t="shared" si="10"/>
        <v>#DIV/0!</v>
      </c>
      <c r="J21" s="27" t="e">
        <f>SUM(J16:J20)</f>
        <v>#DIV/0!</v>
      </c>
      <c r="K21" s="24" t="e">
        <f t="shared" si="11"/>
        <v>#DIV/0!</v>
      </c>
      <c r="L21" s="27" t="e">
        <f>SUM(L16:L20)</f>
        <v>#DIV/0!</v>
      </c>
      <c r="M21" s="24" t="e">
        <f t="shared" si="12"/>
        <v>#DIV/0!</v>
      </c>
      <c r="N21" s="27">
        <f>SUM(N16:N20)</f>
        <v>0</v>
      </c>
      <c r="O21" s="24" t="e">
        <f t="shared" si="13"/>
        <v>#DIV/0!</v>
      </c>
      <c r="P21" s="27">
        <f>SUM(P16:P20)</f>
        <v>0</v>
      </c>
      <c r="Q21" s="25" t="e">
        <f t="shared" si="13"/>
        <v>#DIV/0!</v>
      </c>
    </row>
    <row r="22" spans="1:17" s="17" customFormat="1" ht="15.75" thickBot="1" x14ac:dyDescent="0.3">
      <c r="A22" s="15"/>
      <c r="B22" s="22"/>
      <c r="C22" s="23"/>
      <c r="D22" s="22"/>
      <c r="E22" s="23"/>
      <c r="F22" s="22"/>
      <c r="G22" s="23"/>
      <c r="H22" s="22"/>
      <c r="I22" s="23"/>
      <c r="J22" s="22"/>
      <c r="K22" s="23"/>
      <c r="L22" s="22"/>
      <c r="M22" s="23"/>
      <c r="N22" s="22"/>
      <c r="O22" s="23"/>
      <c r="P22" s="22"/>
      <c r="Q22" s="23"/>
    </row>
    <row r="23" spans="1:17" s="17" customFormat="1" ht="15.75" thickBot="1" x14ac:dyDescent="0.3">
      <c r="A23" s="28" t="s">
        <v>75</v>
      </c>
      <c r="B23" s="29">
        <f>B4-B21</f>
        <v>0</v>
      </c>
      <c r="C23" s="10" t="e">
        <f>B23/B$4</f>
        <v>#DIV/0!</v>
      </c>
      <c r="D23" s="29" t="e">
        <f>D4-D21</f>
        <v>#DIV/0!</v>
      </c>
      <c r="E23" s="10" t="e">
        <f t="shared" si="8"/>
        <v>#DIV/0!</v>
      </c>
      <c r="F23" s="29" t="e">
        <f>F4-F21</f>
        <v>#DIV/0!</v>
      </c>
      <c r="G23" s="10" t="e">
        <f t="shared" si="9"/>
        <v>#DIV/0!</v>
      </c>
      <c r="H23" s="29" t="e">
        <f>H4-H21</f>
        <v>#DIV/0!</v>
      </c>
      <c r="I23" s="10" t="e">
        <f t="shared" si="10"/>
        <v>#DIV/0!</v>
      </c>
      <c r="J23" s="29" t="e">
        <f>J4-J21</f>
        <v>#DIV/0!</v>
      </c>
      <c r="K23" s="10" t="e">
        <f t="shared" si="11"/>
        <v>#DIV/0!</v>
      </c>
      <c r="L23" s="29" t="e">
        <f>L4-L21</f>
        <v>#DIV/0!</v>
      </c>
      <c r="M23" s="10" t="e">
        <f t="shared" si="12"/>
        <v>#DIV/0!</v>
      </c>
      <c r="N23" s="29">
        <f>N4-N21</f>
        <v>0</v>
      </c>
      <c r="O23" s="10" t="e">
        <f t="shared" si="13"/>
        <v>#DIV/0!</v>
      </c>
      <c r="P23" s="29">
        <f>P4-P21</f>
        <v>0</v>
      </c>
      <c r="Q23" s="11" t="e">
        <f t="shared" si="13"/>
        <v>#DIV/0!</v>
      </c>
    </row>
    <row r="24" spans="1:17" s="17" customFormat="1" ht="15.75" thickBot="1" x14ac:dyDescent="0.3">
      <c r="A24" s="30" t="s">
        <v>68</v>
      </c>
      <c r="B24" s="31" t="e">
        <f>D24+F24+H24+J24+L24+N24</f>
        <v>#DIV/0!</v>
      </c>
      <c r="C24" s="32" t="e">
        <f>B24/B$4</f>
        <v>#DIV/0!</v>
      </c>
      <c r="D24" s="31" t="e">
        <f>SUM(D47:D89)</f>
        <v>#DIV/0!</v>
      </c>
      <c r="E24" s="32" t="e">
        <f>D24/D$4</f>
        <v>#DIV/0!</v>
      </c>
      <c r="F24" s="31" t="e">
        <f>SUM(F47:F89)</f>
        <v>#DIV/0!</v>
      </c>
      <c r="G24" s="32" t="e">
        <f>F24/F$4</f>
        <v>#DIV/0!</v>
      </c>
      <c r="H24" s="31" t="e">
        <f>SUM(H47:H89)</f>
        <v>#DIV/0!</v>
      </c>
      <c r="I24" s="32" t="e">
        <f>H24/H$4</f>
        <v>#DIV/0!</v>
      </c>
      <c r="J24" s="31" t="e">
        <f>SUM(J47:J89)</f>
        <v>#DIV/0!</v>
      </c>
      <c r="K24" s="32" t="e">
        <f>J24/J$4</f>
        <v>#DIV/0!</v>
      </c>
      <c r="L24" s="31" t="e">
        <f>SUM(L47:L89)</f>
        <v>#DIV/0!</v>
      </c>
      <c r="M24" s="32" t="e">
        <f>L24/L$4</f>
        <v>#DIV/0!</v>
      </c>
      <c r="N24" s="31" t="e">
        <f>SUM(N47:N89)</f>
        <v>#DIV/0!</v>
      </c>
      <c r="O24" s="32" t="e">
        <f>N24/N$4</f>
        <v>#DIV/0!</v>
      </c>
      <c r="P24" s="31">
        <f>SUM(P47:P89)</f>
        <v>0</v>
      </c>
      <c r="Q24" s="33" t="e">
        <f>P24/P$4</f>
        <v>#DIV/0!</v>
      </c>
    </row>
    <row r="25" spans="1:17" s="37" customFormat="1" x14ac:dyDescent="0.25">
      <c r="A25" s="72" t="s">
        <v>72</v>
      </c>
      <c r="B25" s="73" t="e">
        <f>B23-B24</f>
        <v>#DIV/0!</v>
      </c>
      <c r="C25" s="74" t="e">
        <f t="shared" ref="C25:Q25" si="14">C23-C24</f>
        <v>#DIV/0!</v>
      </c>
      <c r="D25" s="73" t="e">
        <f t="shared" si="14"/>
        <v>#DIV/0!</v>
      </c>
      <c r="E25" s="74" t="e">
        <f t="shared" si="14"/>
        <v>#DIV/0!</v>
      </c>
      <c r="F25" s="73" t="e">
        <f t="shared" si="14"/>
        <v>#DIV/0!</v>
      </c>
      <c r="G25" s="74" t="e">
        <f t="shared" si="14"/>
        <v>#DIV/0!</v>
      </c>
      <c r="H25" s="73" t="e">
        <f t="shared" si="14"/>
        <v>#DIV/0!</v>
      </c>
      <c r="I25" s="74" t="e">
        <f t="shared" si="14"/>
        <v>#DIV/0!</v>
      </c>
      <c r="J25" s="73" t="e">
        <f t="shared" si="14"/>
        <v>#DIV/0!</v>
      </c>
      <c r="K25" s="74" t="e">
        <f t="shared" si="14"/>
        <v>#DIV/0!</v>
      </c>
      <c r="L25" s="73" t="e">
        <f t="shared" si="14"/>
        <v>#DIV/0!</v>
      </c>
      <c r="M25" s="74" t="e">
        <f t="shared" si="14"/>
        <v>#DIV/0!</v>
      </c>
      <c r="N25" s="73" t="e">
        <f t="shared" si="14"/>
        <v>#DIV/0!</v>
      </c>
      <c r="O25" s="74" t="e">
        <f t="shared" si="14"/>
        <v>#DIV/0!</v>
      </c>
      <c r="P25" s="73">
        <f t="shared" si="14"/>
        <v>0</v>
      </c>
      <c r="Q25" s="75" t="e">
        <f t="shared" si="14"/>
        <v>#DIV/0!</v>
      </c>
    </row>
    <row r="26" spans="1:17" s="34" customFormat="1" x14ac:dyDescent="0.25">
      <c r="B26" s="35"/>
      <c r="C26" s="36"/>
      <c r="D26" s="35"/>
      <c r="E26" s="36"/>
      <c r="F26" s="35"/>
      <c r="G26" s="36"/>
      <c r="H26" s="35"/>
      <c r="I26" s="36"/>
      <c r="J26" s="35"/>
      <c r="K26" s="36"/>
      <c r="L26" s="35"/>
      <c r="M26" s="36"/>
      <c r="N26" s="35"/>
      <c r="O26" s="36"/>
      <c r="P26" s="35"/>
      <c r="Q26" s="36"/>
    </row>
    <row r="27" spans="1:17" s="37" customFormat="1" x14ac:dyDescent="0.25">
      <c r="A27" s="44" t="s">
        <v>80</v>
      </c>
      <c r="B27" s="45">
        <f>D27+F27+H27+J27+L27</f>
        <v>0</v>
      </c>
      <c r="C27" s="46"/>
      <c r="D27" s="45"/>
      <c r="E27" s="46"/>
      <c r="F27" s="45"/>
      <c r="G27" s="46"/>
      <c r="H27" s="45"/>
      <c r="I27" s="46"/>
      <c r="J27" s="45"/>
      <c r="K27" s="46"/>
      <c r="L27" s="77"/>
      <c r="M27" s="71"/>
      <c r="N27" s="35"/>
      <c r="O27" s="36"/>
      <c r="P27" s="35"/>
      <c r="Q27" s="36"/>
    </row>
    <row r="28" spans="1:17" s="37" customFormat="1" x14ac:dyDescent="0.25">
      <c r="A28" s="44" t="s">
        <v>79</v>
      </c>
      <c r="B28" s="45">
        <f>D28+F28+H28+J28+L28</f>
        <v>0</v>
      </c>
      <c r="C28" s="46"/>
      <c r="D28" s="45"/>
      <c r="E28" s="46"/>
      <c r="F28" s="45"/>
      <c r="G28" s="46"/>
      <c r="H28" s="45"/>
      <c r="I28" s="46"/>
      <c r="J28" s="45"/>
      <c r="K28" s="46"/>
      <c r="L28" s="77"/>
      <c r="M28" s="71"/>
      <c r="N28" s="35"/>
      <c r="O28" s="36"/>
      <c r="P28" s="35"/>
      <c r="Q28" s="36"/>
    </row>
    <row r="29" spans="1:17" s="17" customFormat="1" x14ac:dyDescent="0.25">
      <c r="A29" s="44" t="s">
        <v>78</v>
      </c>
      <c r="B29" s="47" t="e">
        <f>D29+F29+H29+J29+L29</f>
        <v>#VALUE!</v>
      </c>
      <c r="C29" s="46"/>
      <c r="D29" s="47"/>
      <c r="E29" s="47"/>
      <c r="F29" s="47"/>
      <c r="G29" s="47"/>
      <c r="H29" s="47"/>
      <c r="I29" s="47"/>
      <c r="J29" s="47"/>
      <c r="K29" s="47"/>
      <c r="L29" s="76" t="s">
        <v>110</v>
      </c>
      <c r="M29" s="78"/>
      <c r="N29" s="48"/>
      <c r="O29" s="48"/>
      <c r="P29" s="48"/>
      <c r="Q29" s="48"/>
    </row>
    <row r="30" spans="1:17" s="17" customFormat="1" x14ac:dyDescent="0.25">
      <c r="A30" s="34"/>
      <c r="B30" s="48"/>
      <c r="C30" s="36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1:17" s="17" customFormat="1" x14ac:dyDescent="0.25">
      <c r="A31" s="5" t="s">
        <v>86</v>
      </c>
      <c r="B31" s="58" t="s">
        <v>112</v>
      </c>
      <c r="C31" s="59" t="s">
        <v>89</v>
      </c>
      <c r="D31" s="60" t="s">
        <v>88</v>
      </c>
      <c r="E31" s="60" t="s">
        <v>90</v>
      </c>
      <c r="F31" s="60" t="s">
        <v>92</v>
      </c>
      <c r="G31" s="47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pans="1:17" s="17" customFormat="1" x14ac:dyDescent="0.25">
      <c r="A32" s="44" t="s">
        <v>83</v>
      </c>
      <c r="B32" s="55"/>
      <c r="C32" s="55"/>
      <c r="D32" s="55"/>
      <c r="E32" s="55"/>
      <c r="F32" s="55"/>
      <c r="G32" s="53" t="s">
        <v>107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spans="1:17" s="17" customFormat="1" x14ac:dyDescent="0.25">
      <c r="A33" s="44" t="s">
        <v>84</v>
      </c>
      <c r="B33" s="55"/>
      <c r="C33" s="55"/>
      <c r="D33" s="55"/>
      <c r="E33" s="55"/>
      <c r="F33" s="55"/>
      <c r="G33" s="53" t="s">
        <v>109</v>
      </c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 spans="1:17" s="17" customFormat="1" x14ac:dyDescent="0.25">
      <c r="A34" s="44" t="s">
        <v>85</v>
      </c>
      <c r="B34" s="55"/>
      <c r="C34" s="55"/>
      <c r="D34" s="55"/>
      <c r="E34" s="55"/>
      <c r="F34" s="55"/>
      <c r="G34" s="53" t="s">
        <v>108</v>
      </c>
      <c r="H34" s="35"/>
      <c r="I34" s="36"/>
      <c r="J34" s="35"/>
      <c r="K34" s="36"/>
      <c r="L34" s="35"/>
      <c r="M34" s="36"/>
      <c r="N34" s="35"/>
      <c r="O34" s="36"/>
      <c r="P34" s="35"/>
      <c r="Q34" s="36"/>
    </row>
    <row r="35" spans="1:17" s="17" customFormat="1" x14ac:dyDescent="0.25">
      <c r="A35" s="44" t="s">
        <v>113</v>
      </c>
      <c r="B35" s="55"/>
      <c r="C35" s="55"/>
      <c r="D35" s="55"/>
      <c r="E35" s="55"/>
      <c r="F35" s="55"/>
      <c r="G35" s="53"/>
      <c r="H35" s="35"/>
      <c r="I35" s="36"/>
      <c r="J35" s="35"/>
      <c r="K35" s="36"/>
      <c r="L35" s="35"/>
      <c r="M35" s="36"/>
      <c r="N35" s="35"/>
      <c r="O35" s="36"/>
      <c r="P35" s="35"/>
      <c r="Q35" s="36"/>
    </row>
    <row r="36" spans="1:17" s="17" customFormat="1" x14ac:dyDescent="0.25">
      <c r="A36" s="44" t="s">
        <v>93</v>
      </c>
      <c r="B36" s="55"/>
      <c r="C36" s="55"/>
      <c r="D36" s="55"/>
      <c r="E36" s="55"/>
      <c r="F36" s="53"/>
      <c r="G36" s="53"/>
      <c r="H36" s="35"/>
      <c r="I36" s="36"/>
      <c r="J36" s="35"/>
      <c r="K36" s="36"/>
      <c r="L36" s="35"/>
      <c r="M36" s="36"/>
      <c r="N36" s="35"/>
      <c r="O36" s="36"/>
      <c r="P36" s="35"/>
      <c r="Q36" s="36"/>
    </row>
    <row r="37" spans="1:17" s="17" customFormat="1" x14ac:dyDescent="0.25">
      <c r="A37" s="44" t="s">
        <v>96</v>
      </c>
      <c r="B37" s="82">
        <f>SUM(B32:B36)</f>
        <v>0</v>
      </c>
      <c r="C37" s="79">
        <f>SUM(C32:C36)</f>
        <v>0</v>
      </c>
      <c r="D37" s="79">
        <f>SUM(D32:D36)</f>
        <v>0</v>
      </c>
      <c r="E37" s="79">
        <f>SUM(E32:E36)</f>
        <v>0</v>
      </c>
      <c r="F37" s="80">
        <f>SUM(F32:F36)</f>
        <v>0</v>
      </c>
      <c r="G37" s="86">
        <f>SUM(C37:F37)</f>
        <v>0</v>
      </c>
      <c r="H37" s="35"/>
      <c r="I37" s="35"/>
      <c r="J37" s="35"/>
      <c r="K37" s="36"/>
      <c r="L37" s="35"/>
      <c r="M37" s="36"/>
      <c r="N37" s="35"/>
      <c r="O37" s="36"/>
      <c r="P37" s="35"/>
      <c r="Q37" s="36"/>
    </row>
    <row r="38" spans="1:17" s="17" customFormat="1" x14ac:dyDescent="0.25">
      <c r="A38" s="34"/>
      <c r="B38" s="65"/>
      <c r="C38" s="65"/>
      <c r="D38" s="65"/>
      <c r="E38" s="65"/>
      <c r="F38" s="54"/>
      <c r="G38" s="54"/>
      <c r="H38" s="35"/>
      <c r="I38" s="35"/>
      <c r="J38" s="35"/>
      <c r="K38" s="36"/>
      <c r="L38" s="35"/>
      <c r="M38" s="36"/>
      <c r="N38" s="35"/>
      <c r="O38" s="36"/>
      <c r="P38" s="35"/>
      <c r="Q38" s="36"/>
    </row>
    <row r="39" spans="1:17" s="17" customFormat="1" x14ac:dyDescent="0.25">
      <c r="A39" s="61" t="s">
        <v>91</v>
      </c>
      <c r="B39" s="62"/>
      <c r="C39" s="62"/>
      <c r="D39" s="62"/>
      <c r="E39" s="62"/>
      <c r="F39" s="54"/>
      <c r="G39" s="54"/>
      <c r="H39" s="35"/>
      <c r="I39" s="36"/>
      <c r="J39" s="35"/>
      <c r="K39" s="36"/>
      <c r="L39" s="35"/>
      <c r="M39" s="36"/>
      <c r="N39" s="35"/>
      <c r="O39" s="36"/>
      <c r="P39" s="35"/>
      <c r="Q39" s="36"/>
    </row>
    <row r="40" spans="1:17" s="17" customFormat="1" x14ac:dyDescent="0.25">
      <c r="A40" s="50" t="s">
        <v>94</v>
      </c>
      <c r="B40" s="55"/>
      <c r="C40" s="55"/>
      <c r="D40" s="55"/>
      <c r="E40" s="79"/>
      <c r="F40" s="54"/>
      <c r="G40" s="54"/>
      <c r="H40" s="35"/>
      <c r="I40" s="36"/>
      <c r="J40" s="35"/>
      <c r="K40" s="36"/>
      <c r="L40" s="35"/>
      <c r="M40" s="36"/>
      <c r="N40" s="35"/>
      <c r="O40" s="36"/>
      <c r="P40" s="35"/>
      <c r="Q40" s="36"/>
    </row>
    <row r="41" spans="1:17" s="17" customFormat="1" x14ac:dyDescent="0.25">
      <c r="A41" s="50" t="s">
        <v>95</v>
      </c>
      <c r="B41" s="56"/>
      <c r="C41" s="57"/>
      <c r="D41" s="56"/>
      <c r="E41" s="79"/>
      <c r="F41" s="35"/>
      <c r="G41" s="36"/>
      <c r="H41" s="35"/>
      <c r="I41" s="36"/>
      <c r="J41" s="35"/>
      <c r="K41" s="36"/>
      <c r="L41" s="35"/>
      <c r="M41" s="36"/>
      <c r="N41" s="35"/>
      <c r="O41" s="36"/>
      <c r="P41" s="35"/>
      <c r="Q41" s="36"/>
    </row>
    <row r="42" spans="1:17" s="17" customFormat="1" x14ac:dyDescent="0.25">
      <c r="A42" s="44" t="s">
        <v>34</v>
      </c>
      <c r="B42" s="83">
        <f>SUM(B40:B41)</f>
        <v>0</v>
      </c>
      <c r="C42" s="57"/>
      <c r="D42" s="56"/>
      <c r="E42" s="86">
        <f>SUM(E40:E41)</f>
        <v>0</v>
      </c>
      <c r="F42" s="35"/>
      <c r="G42" s="36"/>
      <c r="H42" s="35"/>
      <c r="I42" s="36"/>
      <c r="J42" s="35"/>
      <c r="K42" s="36"/>
      <c r="L42" s="35"/>
      <c r="M42" s="36"/>
      <c r="N42" s="35"/>
      <c r="O42" s="36"/>
      <c r="P42" s="35"/>
      <c r="Q42" s="36"/>
    </row>
    <row r="43" spans="1:17" s="17" customFormat="1" x14ac:dyDescent="0.25">
      <c r="A43" s="49"/>
      <c r="B43" s="64"/>
      <c r="C43" s="63"/>
      <c r="D43" s="64"/>
      <c r="E43" s="65"/>
      <c r="F43" s="35"/>
      <c r="G43" s="36"/>
      <c r="H43" s="35"/>
      <c r="I43" s="36"/>
      <c r="J43" s="35"/>
      <c r="K43" s="36"/>
      <c r="L43" s="35"/>
      <c r="M43" s="36"/>
      <c r="N43" s="35"/>
      <c r="O43" s="36"/>
      <c r="P43" s="35"/>
      <c r="Q43" s="36"/>
    </row>
    <row r="44" spans="1:17" s="17" customFormat="1" x14ac:dyDescent="0.25">
      <c r="A44" s="66" t="s">
        <v>97</v>
      </c>
      <c r="B44" s="81">
        <f>C37+D37+E37+F37+E42</f>
        <v>0</v>
      </c>
      <c r="C44" s="68"/>
      <c r="D44" s="67"/>
      <c r="E44" s="69"/>
      <c r="F44" s="35"/>
      <c r="G44" s="36"/>
      <c r="H44" s="35"/>
      <c r="I44" s="36"/>
      <c r="J44" s="35"/>
      <c r="K44" s="36"/>
      <c r="L44" s="35"/>
      <c r="M44" s="36"/>
      <c r="N44" s="35"/>
      <c r="O44" s="36"/>
      <c r="P44" s="35"/>
      <c r="Q44" s="36"/>
    </row>
    <row r="45" spans="1:17" s="17" customFormat="1" x14ac:dyDescent="0.25">
      <c r="A45" s="50"/>
      <c r="B45" s="51"/>
      <c r="C45" s="36"/>
      <c r="D45" s="51"/>
      <c r="E45" s="36"/>
      <c r="F45" s="35"/>
      <c r="G45" s="36"/>
      <c r="H45" s="35"/>
      <c r="I45" s="36"/>
      <c r="J45" s="35"/>
      <c r="K45" s="36"/>
      <c r="L45" s="35"/>
      <c r="M45" s="36"/>
      <c r="N45" s="35"/>
      <c r="O45" s="36"/>
      <c r="P45" s="35"/>
      <c r="Q45" s="36"/>
    </row>
    <row r="46" spans="1:17" x14ac:dyDescent="0.25">
      <c r="A46" s="5" t="s">
        <v>0</v>
      </c>
      <c r="B46" s="52" t="s">
        <v>21</v>
      </c>
      <c r="C46" s="16" t="s">
        <v>57</v>
      </c>
      <c r="D46" s="5" t="s">
        <v>69</v>
      </c>
      <c r="E46" s="16" t="s">
        <v>57</v>
      </c>
      <c r="F46" s="5" t="s">
        <v>59</v>
      </c>
      <c r="G46" s="16" t="s">
        <v>57</v>
      </c>
      <c r="H46" s="5" t="s">
        <v>70</v>
      </c>
      <c r="I46" s="16" t="s">
        <v>57</v>
      </c>
      <c r="J46" s="5" t="s">
        <v>61</v>
      </c>
      <c r="K46" s="16" t="s">
        <v>57</v>
      </c>
      <c r="L46" s="5" t="s">
        <v>62</v>
      </c>
      <c r="M46" s="16" t="s">
        <v>57</v>
      </c>
      <c r="N46" s="5" t="s">
        <v>1</v>
      </c>
      <c r="O46" s="16" t="s">
        <v>57</v>
      </c>
      <c r="P46" s="5" t="s">
        <v>2</v>
      </c>
      <c r="Q46" s="16" t="s">
        <v>57</v>
      </c>
    </row>
    <row r="47" spans="1:17" x14ac:dyDescent="0.25">
      <c r="A47" s="13" t="s">
        <v>46</v>
      </c>
      <c r="B47" s="12"/>
      <c r="C47" s="14" t="e">
        <f t="shared" ref="C47:E63" si="15">B47/B$4</f>
        <v>#DIV/0!</v>
      </c>
      <c r="D47" s="12" t="e">
        <f>B47*E14</f>
        <v>#DIV/0!</v>
      </c>
      <c r="E47" s="14" t="e">
        <f t="shared" si="15"/>
        <v>#DIV/0!</v>
      </c>
      <c r="F47" s="12" t="e">
        <f>B47*G14</f>
        <v>#DIV/0!</v>
      </c>
      <c r="G47" s="14" t="e">
        <f t="shared" ref="G47:G89" si="16">F47/F$4</f>
        <v>#DIV/0!</v>
      </c>
      <c r="H47" s="12" t="e">
        <f>B47*I14</f>
        <v>#DIV/0!</v>
      </c>
      <c r="I47" s="14" t="e">
        <f t="shared" ref="I47:I89" si="17">H47/H$4</f>
        <v>#DIV/0!</v>
      </c>
      <c r="J47" s="12" t="e">
        <f>B47*K14</f>
        <v>#DIV/0!</v>
      </c>
      <c r="K47" s="14" t="e">
        <f t="shared" ref="K47:K89" si="18">J47/J$4</f>
        <v>#DIV/0!</v>
      </c>
      <c r="L47" s="12" t="e">
        <f>B47*M14</f>
        <v>#DIV/0!</v>
      </c>
      <c r="M47" s="14" t="e">
        <f t="shared" ref="M47:M89" si="19">L47/L$4</f>
        <v>#DIV/0!</v>
      </c>
      <c r="N47" s="12">
        <v>0</v>
      </c>
      <c r="O47" s="14" t="e">
        <f t="shared" ref="O47:O89" si="20">N47/N$4</f>
        <v>#DIV/0!</v>
      </c>
      <c r="P47" s="13"/>
      <c r="Q47" s="14" t="e">
        <f t="shared" ref="Q47:Q89" si="21">P47/P$4</f>
        <v>#DIV/0!</v>
      </c>
    </row>
    <row r="48" spans="1:17" x14ac:dyDescent="0.25">
      <c r="A48" s="13" t="s">
        <v>4</v>
      </c>
      <c r="B48" s="12"/>
      <c r="C48" s="14" t="e">
        <f t="shared" si="15"/>
        <v>#DIV/0!</v>
      </c>
      <c r="D48" s="12" t="e">
        <f>B48*E4</f>
        <v>#DIV/0!</v>
      </c>
      <c r="E48" s="14" t="e">
        <f t="shared" si="15"/>
        <v>#DIV/0!</v>
      </c>
      <c r="F48" s="12" t="e">
        <f>B48*G4</f>
        <v>#DIV/0!</v>
      </c>
      <c r="G48" s="14" t="e">
        <f t="shared" si="16"/>
        <v>#DIV/0!</v>
      </c>
      <c r="H48" s="12" t="e">
        <f>B48*I4</f>
        <v>#DIV/0!</v>
      </c>
      <c r="I48" s="14" t="e">
        <f t="shared" si="17"/>
        <v>#DIV/0!</v>
      </c>
      <c r="J48" s="12" t="e">
        <f>B48*K4</f>
        <v>#DIV/0!</v>
      </c>
      <c r="K48" s="14" t="e">
        <f t="shared" si="18"/>
        <v>#DIV/0!</v>
      </c>
      <c r="L48" s="12" t="e">
        <f>B48*M4</f>
        <v>#DIV/0!</v>
      </c>
      <c r="M48" s="14" t="e">
        <f t="shared" si="19"/>
        <v>#DIV/0!</v>
      </c>
      <c r="N48" s="12" t="e">
        <f>B48*O4</f>
        <v>#DIV/0!</v>
      </c>
      <c r="O48" s="14" t="e">
        <f t="shared" si="20"/>
        <v>#DIV/0!</v>
      </c>
      <c r="P48" s="12"/>
      <c r="Q48" s="14" t="e">
        <f t="shared" si="21"/>
        <v>#DIV/0!</v>
      </c>
    </row>
    <row r="49" spans="1:17" x14ac:dyDescent="0.25">
      <c r="A49" s="13" t="s">
        <v>111</v>
      </c>
      <c r="B49" s="12"/>
      <c r="C49" s="14" t="e">
        <f t="shared" si="15"/>
        <v>#DIV/0!</v>
      </c>
      <c r="D49" s="12" t="e">
        <f>B49*E4</f>
        <v>#DIV/0!</v>
      </c>
      <c r="E49" s="14" t="e">
        <f t="shared" si="15"/>
        <v>#DIV/0!</v>
      </c>
      <c r="F49" s="12" t="e">
        <f>B49*G4</f>
        <v>#DIV/0!</v>
      </c>
      <c r="G49" s="14" t="e">
        <f t="shared" si="16"/>
        <v>#DIV/0!</v>
      </c>
      <c r="H49" s="12" t="e">
        <f>B49*I4</f>
        <v>#DIV/0!</v>
      </c>
      <c r="I49" s="14" t="e">
        <f t="shared" si="17"/>
        <v>#DIV/0!</v>
      </c>
      <c r="J49" s="12" t="e">
        <f>B49*K4</f>
        <v>#DIV/0!</v>
      </c>
      <c r="K49" s="14" t="e">
        <f t="shared" si="18"/>
        <v>#DIV/0!</v>
      </c>
      <c r="L49" s="12" t="e">
        <f>B49*M4</f>
        <v>#DIV/0!</v>
      </c>
      <c r="M49" s="14" t="e">
        <f t="shared" si="19"/>
        <v>#DIV/0!</v>
      </c>
      <c r="N49" s="12" t="e">
        <f>B49*O4</f>
        <v>#DIV/0!</v>
      </c>
      <c r="O49" s="14" t="e">
        <f t="shared" si="20"/>
        <v>#DIV/0!</v>
      </c>
      <c r="P49" s="12"/>
      <c r="Q49" s="14" t="e">
        <f t="shared" si="21"/>
        <v>#DIV/0!</v>
      </c>
    </row>
    <row r="50" spans="1:17" x14ac:dyDescent="0.25">
      <c r="A50" s="13" t="s">
        <v>32</v>
      </c>
      <c r="B50" s="12"/>
      <c r="C50" s="14" t="e">
        <f t="shared" si="15"/>
        <v>#DIV/0!</v>
      </c>
      <c r="D50" s="12" t="e">
        <f>B50*E14</f>
        <v>#DIV/0!</v>
      </c>
      <c r="E50" s="14" t="e">
        <f t="shared" si="15"/>
        <v>#DIV/0!</v>
      </c>
      <c r="F50" s="12" t="e">
        <f>B50*G14</f>
        <v>#DIV/0!</v>
      </c>
      <c r="G50" s="14" t="e">
        <f t="shared" si="16"/>
        <v>#DIV/0!</v>
      </c>
      <c r="H50" s="43" t="e">
        <f>B50*I14</f>
        <v>#DIV/0!</v>
      </c>
      <c r="I50" s="14" t="e">
        <f t="shared" si="17"/>
        <v>#DIV/0!</v>
      </c>
      <c r="J50" s="12" t="e">
        <f>B50*K14</f>
        <v>#DIV/0!</v>
      </c>
      <c r="K50" s="14" t="e">
        <f t="shared" si="18"/>
        <v>#DIV/0!</v>
      </c>
      <c r="L50" s="12" t="e">
        <f>B50*M14</f>
        <v>#DIV/0!</v>
      </c>
      <c r="M50" s="14" t="e">
        <f t="shared" si="19"/>
        <v>#DIV/0!</v>
      </c>
      <c r="N50" s="12">
        <v>0</v>
      </c>
      <c r="O50" s="14" t="e">
        <f t="shared" si="20"/>
        <v>#DIV/0!</v>
      </c>
      <c r="P50" s="13"/>
      <c r="Q50" s="14" t="e">
        <f t="shared" si="21"/>
        <v>#DIV/0!</v>
      </c>
    </row>
    <row r="51" spans="1:17" x14ac:dyDescent="0.25">
      <c r="A51" s="1" t="s">
        <v>5</v>
      </c>
      <c r="B51" s="2">
        <f>D51+F51+H51+J51+L51+N51+P51</f>
        <v>0</v>
      </c>
      <c r="C51" s="8" t="e">
        <f t="shared" si="15"/>
        <v>#DIV/0!</v>
      </c>
      <c r="D51" s="2">
        <v>0</v>
      </c>
      <c r="E51" s="8" t="e">
        <f t="shared" si="15"/>
        <v>#DIV/0!</v>
      </c>
      <c r="F51" s="2">
        <v>0</v>
      </c>
      <c r="G51" s="8" t="e">
        <f t="shared" si="16"/>
        <v>#DIV/0!</v>
      </c>
      <c r="H51" s="2">
        <v>0</v>
      </c>
      <c r="I51" s="8" t="e">
        <f t="shared" si="17"/>
        <v>#DIV/0!</v>
      </c>
      <c r="J51" s="2">
        <v>0</v>
      </c>
      <c r="K51" s="8" t="e">
        <f t="shared" si="18"/>
        <v>#DIV/0!</v>
      </c>
      <c r="L51" s="2">
        <v>0</v>
      </c>
      <c r="M51" s="8" t="e">
        <f t="shared" si="19"/>
        <v>#DIV/0!</v>
      </c>
      <c r="N51" s="2">
        <v>0</v>
      </c>
      <c r="O51" s="8" t="e">
        <f t="shared" si="20"/>
        <v>#DIV/0!</v>
      </c>
      <c r="P51" s="1"/>
      <c r="Q51" s="8" t="e">
        <f t="shared" si="21"/>
        <v>#DIV/0!</v>
      </c>
    </row>
    <row r="52" spans="1:17" x14ac:dyDescent="0.25">
      <c r="A52" s="1" t="s">
        <v>6</v>
      </c>
      <c r="B52" s="2">
        <f t="shared" ref="B52:B89" si="22">D52+F52+H52+J52+L52+N52+P52</f>
        <v>0</v>
      </c>
      <c r="C52" s="8" t="e">
        <f t="shared" si="15"/>
        <v>#DIV/0!</v>
      </c>
      <c r="D52" s="2"/>
      <c r="E52" s="8" t="e">
        <f t="shared" si="15"/>
        <v>#DIV/0!</v>
      </c>
      <c r="F52" s="2"/>
      <c r="G52" s="8" t="e">
        <f t="shared" si="16"/>
        <v>#DIV/0!</v>
      </c>
      <c r="H52" s="2"/>
      <c r="I52" s="8" t="e">
        <f t="shared" si="17"/>
        <v>#DIV/0!</v>
      </c>
      <c r="J52" s="2"/>
      <c r="K52" s="8" t="e">
        <f t="shared" si="18"/>
        <v>#DIV/0!</v>
      </c>
      <c r="L52" s="2"/>
      <c r="M52" s="8" t="e">
        <f t="shared" si="19"/>
        <v>#DIV/0!</v>
      </c>
      <c r="N52" s="2"/>
      <c r="O52" s="8" t="e">
        <f t="shared" si="20"/>
        <v>#DIV/0!</v>
      </c>
      <c r="P52" s="1"/>
      <c r="Q52" s="8" t="e">
        <f t="shared" si="21"/>
        <v>#DIV/0!</v>
      </c>
    </row>
    <row r="53" spans="1:17" x14ac:dyDescent="0.25">
      <c r="A53" s="1" t="s">
        <v>7</v>
      </c>
      <c r="B53" s="2">
        <f t="shared" si="22"/>
        <v>0</v>
      </c>
      <c r="C53" s="8" t="e">
        <f t="shared" si="15"/>
        <v>#DIV/0!</v>
      </c>
      <c r="D53" s="2"/>
      <c r="E53" s="8" t="e">
        <f t="shared" si="15"/>
        <v>#DIV/0!</v>
      </c>
      <c r="F53" s="2"/>
      <c r="G53" s="8" t="e">
        <f t="shared" si="16"/>
        <v>#DIV/0!</v>
      </c>
      <c r="H53" s="2"/>
      <c r="I53" s="8" t="e">
        <f t="shared" si="17"/>
        <v>#DIV/0!</v>
      </c>
      <c r="J53" s="2"/>
      <c r="K53" s="8" t="e">
        <f t="shared" si="18"/>
        <v>#DIV/0!</v>
      </c>
      <c r="L53" s="2"/>
      <c r="M53" s="8" t="e">
        <f t="shared" si="19"/>
        <v>#DIV/0!</v>
      </c>
      <c r="N53" s="2"/>
      <c r="O53" s="8" t="e">
        <f t="shared" si="20"/>
        <v>#DIV/0!</v>
      </c>
      <c r="P53" s="1"/>
      <c r="Q53" s="8" t="e">
        <f t="shared" si="21"/>
        <v>#DIV/0!</v>
      </c>
    </row>
    <row r="54" spans="1:17" x14ac:dyDescent="0.25">
      <c r="A54" s="1" t="s">
        <v>24</v>
      </c>
      <c r="B54" s="2">
        <f t="shared" si="22"/>
        <v>0</v>
      </c>
      <c r="C54" s="8" t="e">
        <f t="shared" si="15"/>
        <v>#DIV/0!</v>
      </c>
      <c r="D54" s="2">
        <v>0</v>
      </c>
      <c r="E54" s="8" t="e">
        <f t="shared" si="15"/>
        <v>#DIV/0!</v>
      </c>
      <c r="F54" s="2"/>
      <c r="G54" s="8" t="e">
        <f t="shared" si="16"/>
        <v>#DIV/0!</v>
      </c>
      <c r="H54" s="2"/>
      <c r="I54" s="8" t="e">
        <f t="shared" si="17"/>
        <v>#DIV/0!</v>
      </c>
      <c r="J54" s="2"/>
      <c r="K54" s="8" t="e">
        <f t="shared" si="18"/>
        <v>#DIV/0!</v>
      </c>
      <c r="L54" s="2"/>
      <c r="M54" s="8" t="e">
        <f t="shared" si="19"/>
        <v>#DIV/0!</v>
      </c>
      <c r="N54" s="2">
        <v>0</v>
      </c>
      <c r="O54" s="8" t="e">
        <f t="shared" si="20"/>
        <v>#DIV/0!</v>
      </c>
      <c r="P54" s="1"/>
      <c r="Q54" s="8" t="e">
        <f t="shared" si="21"/>
        <v>#DIV/0!</v>
      </c>
    </row>
    <row r="55" spans="1:17" x14ac:dyDescent="0.25">
      <c r="A55" s="1" t="s">
        <v>8</v>
      </c>
      <c r="B55" s="2">
        <f t="shared" si="22"/>
        <v>0</v>
      </c>
      <c r="C55" s="8" t="e">
        <f t="shared" si="15"/>
        <v>#DIV/0!</v>
      </c>
      <c r="D55" s="2">
        <v>0</v>
      </c>
      <c r="E55" s="8" t="e">
        <f t="shared" si="15"/>
        <v>#DIV/0!</v>
      </c>
      <c r="F55" s="2"/>
      <c r="G55" s="8" t="e">
        <f t="shared" si="16"/>
        <v>#DIV/0!</v>
      </c>
      <c r="H55" s="2"/>
      <c r="I55" s="8" t="e">
        <f t="shared" si="17"/>
        <v>#DIV/0!</v>
      </c>
      <c r="J55" s="2">
        <v>0</v>
      </c>
      <c r="K55" s="8" t="e">
        <f t="shared" si="18"/>
        <v>#DIV/0!</v>
      </c>
      <c r="L55" s="2">
        <v>0</v>
      </c>
      <c r="M55" s="8" t="e">
        <f t="shared" si="19"/>
        <v>#DIV/0!</v>
      </c>
      <c r="N55" s="2">
        <v>0</v>
      </c>
      <c r="O55" s="8" t="e">
        <f t="shared" si="20"/>
        <v>#DIV/0!</v>
      </c>
      <c r="P55" s="1"/>
      <c r="Q55" s="8" t="e">
        <f t="shared" si="21"/>
        <v>#DIV/0!</v>
      </c>
    </row>
    <row r="56" spans="1:17" x14ac:dyDescent="0.25">
      <c r="A56" s="13" t="s">
        <v>9</v>
      </c>
      <c r="B56" s="12">
        <v>1320</v>
      </c>
      <c r="C56" s="14" t="e">
        <f t="shared" si="15"/>
        <v>#DIV/0!</v>
      </c>
      <c r="D56" s="12" t="e">
        <f>B56*E4</f>
        <v>#DIV/0!</v>
      </c>
      <c r="E56" s="14" t="e">
        <f t="shared" si="15"/>
        <v>#DIV/0!</v>
      </c>
      <c r="F56" s="12" t="e">
        <f>B56*G4</f>
        <v>#DIV/0!</v>
      </c>
      <c r="G56" s="14" t="e">
        <f t="shared" si="16"/>
        <v>#DIV/0!</v>
      </c>
      <c r="H56" s="12" t="e">
        <f>B56*I4</f>
        <v>#DIV/0!</v>
      </c>
      <c r="I56" s="14" t="e">
        <f t="shared" si="17"/>
        <v>#DIV/0!</v>
      </c>
      <c r="J56" s="12" t="e">
        <f>B56*K4</f>
        <v>#DIV/0!</v>
      </c>
      <c r="K56" s="14" t="e">
        <f t="shared" si="18"/>
        <v>#DIV/0!</v>
      </c>
      <c r="L56" s="12" t="e">
        <f>B56*M4</f>
        <v>#DIV/0!</v>
      </c>
      <c r="M56" s="14" t="e">
        <f t="shared" si="19"/>
        <v>#DIV/0!</v>
      </c>
      <c r="N56" s="2"/>
      <c r="O56" s="8" t="e">
        <f t="shared" si="20"/>
        <v>#DIV/0!</v>
      </c>
      <c r="P56" s="1"/>
      <c r="Q56" s="8" t="e">
        <f t="shared" si="21"/>
        <v>#DIV/0!</v>
      </c>
    </row>
    <row r="57" spans="1:17" x14ac:dyDescent="0.25">
      <c r="A57" s="1" t="s">
        <v>10</v>
      </c>
      <c r="B57" s="2">
        <f t="shared" si="22"/>
        <v>0</v>
      </c>
      <c r="C57" s="8" t="e">
        <f t="shared" si="15"/>
        <v>#DIV/0!</v>
      </c>
      <c r="D57" s="2"/>
      <c r="E57" s="8" t="e">
        <f t="shared" si="15"/>
        <v>#DIV/0!</v>
      </c>
      <c r="F57" s="2"/>
      <c r="G57" s="8" t="e">
        <f t="shared" si="16"/>
        <v>#DIV/0!</v>
      </c>
      <c r="H57" s="2">
        <v>0</v>
      </c>
      <c r="I57" s="8" t="e">
        <f t="shared" si="17"/>
        <v>#DIV/0!</v>
      </c>
      <c r="J57" s="2"/>
      <c r="K57" s="8" t="e">
        <f t="shared" si="18"/>
        <v>#DIV/0!</v>
      </c>
      <c r="L57" s="2"/>
      <c r="M57" s="8" t="e">
        <f t="shared" si="19"/>
        <v>#DIV/0!</v>
      </c>
      <c r="N57" s="2"/>
      <c r="O57" s="8" t="e">
        <f t="shared" si="20"/>
        <v>#DIV/0!</v>
      </c>
      <c r="P57" s="1"/>
      <c r="Q57" s="8" t="e">
        <f t="shared" si="21"/>
        <v>#DIV/0!</v>
      </c>
    </row>
    <row r="58" spans="1:17" x14ac:dyDescent="0.25">
      <c r="A58" s="1" t="s">
        <v>12</v>
      </c>
      <c r="B58" s="2">
        <f t="shared" si="22"/>
        <v>0</v>
      </c>
      <c r="C58" s="8" t="e">
        <f t="shared" si="15"/>
        <v>#DIV/0!</v>
      </c>
      <c r="D58" s="2"/>
      <c r="E58" s="8" t="e">
        <f t="shared" si="15"/>
        <v>#DIV/0!</v>
      </c>
      <c r="F58" s="2"/>
      <c r="G58" s="8" t="e">
        <f t="shared" si="16"/>
        <v>#DIV/0!</v>
      </c>
      <c r="H58" s="2"/>
      <c r="I58" s="8" t="e">
        <f t="shared" si="17"/>
        <v>#DIV/0!</v>
      </c>
      <c r="J58" s="2"/>
      <c r="K58" s="8" t="e">
        <f t="shared" si="18"/>
        <v>#DIV/0!</v>
      </c>
      <c r="L58" s="2"/>
      <c r="M58" s="8" t="e">
        <f t="shared" si="19"/>
        <v>#DIV/0!</v>
      </c>
      <c r="N58" s="2"/>
      <c r="O58" s="8" t="e">
        <f t="shared" si="20"/>
        <v>#DIV/0!</v>
      </c>
      <c r="P58" s="1"/>
      <c r="Q58" s="8" t="e">
        <f t="shared" si="21"/>
        <v>#DIV/0!</v>
      </c>
    </row>
    <row r="59" spans="1:17" x14ac:dyDescent="0.25">
      <c r="A59" s="1" t="s">
        <v>13</v>
      </c>
      <c r="B59" s="2">
        <f t="shared" si="22"/>
        <v>0</v>
      </c>
      <c r="C59" s="8" t="e">
        <f t="shared" si="15"/>
        <v>#DIV/0!</v>
      </c>
      <c r="D59" s="2"/>
      <c r="E59" s="8" t="e">
        <f t="shared" si="15"/>
        <v>#DIV/0!</v>
      </c>
      <c r="F59" s="2"/>
      <c r="G59" s="8" t="e">
        <f t="shared" si="16"/>
        <v>#DIV/0!</v>
      </c>
      <c r="H59" s="2"/>
      <c r="I59" s="8" t="e">
        <f t="shared" si="17"/>
        <v>#DIV/0!</v>
      </c>
      <c r="J59" s="2"/>
      <c r="K59" s="8" t="e">
        <f t="shared" si="18"/>
        <v>#DIV/0!</v>
      </c>
      <c r="L59" s="2"/>
      <c r="M59" s="8" t="e">
        <f t="shared" si="19"/>
        <v>#DIV/0!</v>
      </c>
      <c r="N59" s="2"/>
      <c r="O59" s="8" t="e">
        <f t="shared" si="20"/>
        <v>#DIV/0!</v>
      </c>
      <c r="P59" s="1"/>
      <c r="Q59" s="8" t="e">
        <f t="shared" si="21"/>
        <v>#DIV/0!</v>
      </c>
    </row>
    <row r="60" spans="1:17" x14ac:dyDescent="0.25">
      <c r="A60" s="1" t="s">
        <v>14</v>
      </c>
      <c r="B60" s="2">
        <f t="shared" si="22"/>
        <v>0</v>
      </c>
      <c r="C60" s="8" t="e">
        <f t="shared" si="15"/>
        <v>#DIV/0!</v>
      </c>
      <c r="D60" s="2"/>
      <c r="E60" s="8" t="e">
        <f t="shared" si="15"/>
        <v>#DIV/0!</v>
      </c>
      <c r="F60" s="2"/>
      <c r="G60" s="8" t="e">
        <f t="shared" si="16"/>
        <v>#DIV/0!</v>
      </c>
      <c r="H60" s="2"/>
      <c r="I60" s="8" t="e">
        <f t="shared" si="17"/>
        <v>#DIV/0!</v>
      </c>
      <c r="J60" s="2"/>
      <c r="K60" s="8" t="e">
        <f t="shared" si="18"/>
        <v>#DIV/0!</v>
      </c>
      <c r="L60" s="2"/>
      <c r="M60" s="8" t="e">
        <f t="shared" si="19"/>
        <v>#DIV/0!</v>
      </c>
      <c r="N60" s="2"/>
      <c r="O60" s="8" t="e">
        <f t="shared" si="20"/>
        <v>#DIV/0!</v>
      </c>
      <c r="P60" s="1"/>
      <c r="Q60" s="8" t="e">
        <f t="shared" si="21"/>
        <v>#DIV/0!</v>
      </c>
    </row>
    <row r="61" spans="1:17" x14ac:dyDescent="0.25">
      <c r="A61" s="1" t="s">
        <v>15</v>
      </c>
      <c r="B61" s="2">
        <f t="shared" si="22"/>
        <v>0</v>
      </c>
      <c r="C61" s="8" t="e">
        <f t="shared" si="15"/>
        <v>#DIV/0!</v>
      </c>
      <c r="D61" s="2"/>
      <c r="E61" s="8" t="e">
        <f t="shared" si="15"/>
        <v>#DIV/0!</v>
      </c>
      <c r="F61" s="2"/>
      <c r="G61" s="8" t="e">
        <f t="shared" si="16"/>
        <v>#DIV/0!</v>
      </c>
      <c r="H61" s="2"/>
      <c r="I61" s="8" t="e">
        <f t="shared" si="17"/>
        <v>#DIV/0!</v>
      </c>
      <c r="J61" s="2"/>
      <c r="K61" s="8" t="e">
        <f t="shared" si="18"/>
        <v>#DIV/0!</v>
      </c>
      <c r="L61" s="2"/>
      <c r="M61" s="8" t="e">
        <f t="shared" si="19"/>
        <v>#DIV/0!</v>
      </c>
      <c r="N61" s="2"/>
      <c r="O61" s="8" t="e">
        <f t="shared" si="20"/>
        <v>#DIV/0!</v>
      </c>
      <c r="P61" s="1"/>
      <c r="Q61" s="8" t="e">
        <f t="shared" si="21"/>
        <v>#DIV/0!</v>
      </c>
    </row>
    <row r="62" spans="1:17" x14ac:dyDescent="0.25">
      <c r="A62" s="1" t="s">
        <v>16</v>
      </c>
      <c r="B62" s="2">
        <f t="shared" si="22"/>
        <v>0</v>
      </c>
      <c r="C62" s="8" t="e">
        <f t="shared" si="15"/>
        <v>#DIV/0!</v>
      </c>
      <c r="D62" s="2"/>
      <c r="E62" s="8" t="e">
        <f t="shared" si="15"/>
        <v>#DIV/0!</v>
      </c>
      <c r="F62" s="2"/>
      <c r="G62" s="8" t="e">
        <f t="shared" si="16"/>
        <v>#DIV/0!</v>
      </c>
      <c r="H62" s="2"/>
      <c r="I62" s="8" t="e">
        <f t="shared" si="17"/>
        <v>#DIV/0!</v>
      </c>
      <c r="J62" s="2"/>
      <c r="K62" s="8" t="e">
        <f t="shared" si="18"/>
        <v>#DIV/0!</v>
      </c>
      <c r="L62" s="2"/>
      <c r="M62" s="8" t="e">
        <f t="shared" si="19"/>
        <v>#DIV/0!</v>
      </c>
      <c r="N62" s="2"/>
      <c r="O62" s="8" t="e">
        <f t="shared" si="20"/>
        <v>#DIV/0!</v>
      </c>
      <c r="P62" s="1"/>
      <c r="Q62" s="8" t="e">
        <f t="shared" si="21"/>
        <v>#DIV/0!</v>
      </c>
    </row>
    <row r="63" spans="1:17" x14ac:dyDescent="0.25">
      <c r="A63" s="1" t="s">
        <v>25</v>
      </c>
      <c r="B63" s="2">
        <f t="shared" si="22"/>
        <v>0</v>
      </c>
      <c r="C63" s="8" t="e">
        <f t="shared" si="15"/>
        <v>#DIV/0!</v>
      </c>
      <c r="D63" s="2"/>
      <c r="E63" s="8" t="e">
        <f t="shared" si="15"/>
        <v>#DIV/0!</v>
      </c>
      <c r="F63" s="2"/>
      <c r="G63" s="8" t="e">
        <f t="shared" si="16"/>
        <v>#DIV/0!</v>
      </c>
      <c r="H63" s="2"/>
      <c r="I63" s="8" t="e">
        <f t="shared" si="17"/>
        <v>#DIV/0!</v>
      </c>
      <c r="J63" s="2"/>
      <c r="K63" s="8" t="e">
        <f t="shared" si="18"/>
        <v>#DIV/0!</v>
      </c>
      <c r="L63" s="2"/>
      <c r="M63" s="8" t="e">
        <f t="shared" si="19"/>
        <v>#DIV/0!</v>
      </c>
      <c r="N63" s="2"/>
      <c r="O63" s="8" t="e">
        <f t="shared" si="20"/>
        <v>#DIV/0!</v>
      </c>
      <c r="P63" s="1"/>
      <c r="Q63" s="8" t="e">
        <f t="shared" si="21"/>
        <v>#DIV/0!</v>
      </c>
    </row>
    <row r="64" spans="1:17" x14ac:dyDescent="0.25">
      <c r="A64" s="1" t="s">
        <v>44</v>
      </c>
      <c r="B64" s="2">
        <f t="shared" si="22"/>
        <v>0</v>
      </c>
      <c r="C64" s="8" t="e">
        <f t="shared" ref="C64:E80" si="23">B64/B$4</f>
        <v>#DIV/0!</v>
      </c>
      <c r="D64" s="2"/>
      <c r="E64" s="8" t="e">
        <f t="shared" si="23"/>
        <v>#DIV/0!</v>
      </c>
      <c r="F64" s="2"/>
      <c r="G64" s="8" t="e">
        <f t="shared" si="16"/>
        <v>#DIV/0!</v>
      </c>
      <c r="H64" s="2"/>
      <c r="I64" s="8" t="e">
        <f t="shared" si="17"/>
        <v>#DIV/0!</v>
      </c>
      <c r="J64" s="2"/>
      <c r="K64" s="8" t="e">
        <f t="shared" si="18"/>
        <v>#DIV/0!</v>
      </c>
      <c r="L64" s="2"/>
      <c r="M64" s="8" t="e">
        <f t="shared" si="19"/>
        <v>#DIV/0!</v>
      </c>
      <c r="N64" s="2"/>
      <c r="O64" s="8" t="e">
        <f t="shared" si="20"/>
        <v>#DIV/0!</v>
      </c>
      <c r="P64" s="1"/>
      <c r="Q64" s="8" t="e">
        <f t="shared" si="21"/>
        <v>#DIV/0!</v>
      </c>
    </row>
    <row r="65" spans="1:17" x14ac:dyDescent="0.25">
      <c r="A65" s="1" t="s">
        <v>77</v>
      </c>
      <c r="B65" s="2">
        <f t="shared" si="22"/>
        <v>0</v>
      </c>
      <c r="C65" s="8" t="e">
        <f t="shared" si="23"/>
        <v>#DIV/0!</v>
      </c>
      <c r="D65" s="2"/>
      <c r="E65" s="8" t="e">
        <f t="shared" si="23"/>
        <v>#DIV/0!</v>
      </c>
      <c r="F65" s="2"/>
      <c r="G65" s="8" t="e">
        <f t="shared" si="16"/>
        <v>#DIV/0!</v>
      </c>
      <c r="H65" s="2"/>
      <c r="I65" s="8" t="e">
        <f t="shared" si="17"/>
        <v>#DIV/0!</v>
      </c>
      <c r="J65" s="2"/>
      <c r="K65" s="8" t="e">
        <f t="shared" si="18"/>
        <v>#DIV/0!</v>
      </c>
      <c r="L65" s="2"/>
      <c r="M65" s="8" t="e">
        <f t="shared" si="19"/>
        <v>#DIV/0!</v>
      </c>
      <c r="N65" s="2"/>
      <c r="O65" s="8" t="e">
        <f t="shared" si="20"/>
        <v>#DIV/0!</v>
      </c>
      <c r="P65" s="1"/>
      <c r="Q65" s="8" t="e">
        <f t="shared" si="21"/>
        <v>#DIV/0!</v>
      </c>
    </row>
    <row r="66" spans="1:17" x14ac:dyDescent="0.25">
      <c r="A66" s="1" t="s">
        <v>81</v>
      </c>
      <c r="B66" s="2">
        <f t="shared" si="22"/>
        <v>0</v>
      </c>
      <c r="C66" s="8" t="e">
        <f t="shared" si="23"/>
        <v>#DIV/0!</v>
      </c>
      <c r="D66" s="2"/>
      <c r="E66" s="8" t="e">
        <f t="shared" si="23"/>
        <v>#DIV/0!</v>
      </c>
      <c r="F66" s="2"/>
      <c r="G66" s="8" t="e">
        <f t="shared" si="16"/>
        <v>#DIV/0!</v>
      </c>
      <c r="H66" s="2"/>
      <c r="I66" s="8" t="e">
        <f t="shared" si="17"/>
        <v>#DIV/0!</v>
      </c>
      <c r="J66" s="2"/>
      <c r="K66" s="8" t="e">
        <f t="shared" si="18"/>
        <v>#DIV/0!</v>
      </c>
      <c r="L66" s="2"/>
      <c r="M66" s="8" t="e">
        <f t="shared" si="19"/>
        <v>#DIV/0!</v>
      </c>
      <c r="N66" s="2"/>
      <c r="O66" s="8" t="e">
        <f t="shared" si="20"/>
        <v>#DIV/0!</v>
      </c>
      <c r="P66" s="1"/>
      <c r="Q66" s="8" t="e">
        <f t="shared" si="21"/>
        <v>#DIV/0!</v>
      </c>
    </row>
    <row r="67" spans="1:17" x14ac:dyDescent="0.25">
      <c r="A67" s="1" t="s">
        <v>33</v>
      </c>
      <c r="B67" s="2">
        <f t="shared" si="22"/>
        <v>0</v>
      </c>
      <c r="C67" s="8" t="e">
        <f t="shared" si="23"/>
        <v>#DIV/0!</v>
      </c>
      <c r="D67" s="2"/>
      <c r="E67" s="8" t="e">
        <f t="shared" si="23"/>
        <v>#DIV/0!</v>
      </c>
      <c r="F67" s="2"/>
      <c r="G67" s="8" t="e">
        <f t="shared" si="16"/>
        <v>#DIV/0!</v>
      </c>
      <c r="H67" s="2"/>
      <c r="I67" s="8" t="e">
        <f t="shared" si="17"/>
        <v>#DIV/0!</v>
      </c>
      <c r="J67" s="2"/>
      <c r="K67" s="8" t="e">
        <f t="shared" si="18"/>
        <v>#DIV/0!</v>
      </c>
      <c r="L67" s="2"/>
      <c r="M67" s="8" t="e">
        <f t="shared" si="19"/>
        <v>#DIV/0!</v>
      </c>
      <c r="N67" s="2"/>
      <c r="O67" s="8" t="e">
        <f t="shared" si="20"/>
        <v>#DIV/0!</v>
      </c>
      <c r="P67" s="1"/>
      <c r="Q67" s="8" t="e">
        <f t="shared" si="21"/>
        <v>#DIV/0!</v>
      </c>
    </row>
    <row r="68" spans="1:17" x14ac:dyDescent="0.25">
      <c r="A68" s="1" t="s">
        <v>54</v>
      </c>
      <c r="B68" s="2">
        <f t="shared" si="22"/>
        <v>0</v>
      </c>
      <c r="C68" s="8" t="e">
        <f t="shared" si="23"/>
        <v>#DIV/0!</v>
      </c>
      <c r="D68" s="2"/>
      <c r="E68" s="8" t="e">
        <f t="shared" si="23"/>
        <v>#DIV/0!</v>
      </c>
      <c r="F68" s="2"/>
      <c r="G68" s="8" t="e">
        <f t="shared" si="16"/>
        <v>#DIV/0!</v>
      </c>
      <c r="H68" s="2"/>
      <c r="I68" s="8" t="e">
        <f t="shared" si="17"/>
        <v>#DIV/0!</v>
      </c>
      <c r="J68" s="2"/>
      <c r="K68" s="8" t="e">
        <f t="shared" si="18"/>
        <v>#DIV/0!</v>
      </c>
      <c r="L68" s="2"/>
      <c r="M68" s="8" t="e">
        <f t="shared" si="19"/>
        <v>#DIV/0!</v>
      </c>
      <c r="N68" s="2"/>
      <c r="O68" s="8" t="e">
        <f t="shared" si="20"/>
        <v>#DIV/0!</v>
      </c>
      <c r="P68" s="1"/>
      <c r="Q68" s="8" t="e">
        <f t="shared" si="21"/>
        <v>#DIV/0!</v>
      </c>
    </row>
    <row r="69" spans="1:17" x14ac:dyDescent="0.25">
      <c r="A69" s="1" t="s">
        <v>42</v>
      </c>
      <c r="B69" s="2">
        <f t="shared" si="22"/>
        <v>0</v>
      </c>
      <c r="C69" s="8" t="e">
        <f t="shared" si="23"/>
        <v>#DIV/0!</v>
      </c>
      <c r="D69" s="2"/>
      <c r="E69" s="8" t="e">
        <f t="shared" si="23"/>
        <v>#DIV/0!</v>
      </c>
      <c r="F69" s="2"/>
      <c r="G69" s="8" t="e">
        <f t="shared" si="16"/>
        <v>#DIV/0!</v>
      </c>
      <c r="H69" s="2"/>
      <c r="I69" s="8" t="e">
        <f t="shared" si="17"/>
        <v>#DIV/0!</v>
      </c>
      <c r="J69" s="2"/>
      <c r="K69" s="8" t="e">
        <f t="shared" si="18"/>
        <v>#DIV/0!</v>
      </c>
      <c r="L69" s="2"/>
      <c r="M69" s="8" t="e">
        <f t="shared" si="19"/>
        <v>#DIV/0!</v>
      </c>
      <c r="N69" s="2"/>
      <c r="O69" s="8" t="e">
        <f t="shared" si="20"/>
        <v>#DIV/0!</v>
      </c>
      <c r="P69" s="1"/>
      <c r="Q69" s="8" t="e">
        <f t="shared" si="21"/>
        <v>#DIV/0!</v>
      </c>
    </row>
    <row r="70" spans="1:17" x14ac:dyDescent="0.25">
      <c r="A70" s="1" t="s">
        <v>17</v>
      </c>
      <c r="B70" s="2">
        <f t="shared" si="22"/>
        <v>0</v>
      </c>
      <c r="C70" s="8" t="e">
        <f t="shared" si="23"/>
        <v>#DIV/0!</v>
      </c>
      <c r="D70" s="2"/>
      <c r="E70" s="8" t="e">
        <f t="shared" si="23"/>
        <v>#DIV/0!</v>
      </c>
      <c r="F70" s="2"/>
      <c r="G70" s="8" t="e">
        <f t="shared" si="16"/>
        <v>#DIV/0!</v>
      </c>
      <c r="H70" s="2"/>
      <c r="I70" s="8" t="e">
        <f t="shared" si="17"/>
        <v>#DIV/0!</v>
      </c>
      <c r="J70" s="2"/>
      <c r="K70" s="8" t="e">
        <f t="shared" si="18"/>
        <v>#DIV/0!</v>
      </c>
      <c r="L70" s="2"/>
      <c r="M70" s="8" t="e">
        <f t="shared" si="19"/>
        <v>#DIV/0!</v>
      </c>
      <c r="N70" s="2"/>
      <c r="O70" s="8" t="e">
        <f t="shared" si="20"/>
        <v>#DIV/0!</v>
      </c>
      <c r="P70" s="1"/>
      <c r="Q70" s="8" t="e">
        <f t="shared" si="21"/>
        <v>#DIV/0!</v>
      </c>
    </row>
    <row r="71" spans="1:17" x14ac:dyDescent="0.25">
      <c r="A71" s="1" t="s">
        <v>11</v>
      </c>
      <c r="B71" s="2">
        <f t="shared" si="22"/>
        <v>0</v>
      </c>
      <c r="C71" s="8" t="e">
        <f t="shared" si="23"/>
        <v>#DIV/0!</v>
      </c>
      <c r="D71" s="2"/>
      <c r="E71" s="8" t="e">
        <f t="shared" si="23"/>
        <v>#DIV/0!</v>
      </c>
      <c r="F71" s="2"/>
      <c r="G71" s="8" t="e">
        <f t="shared" si="16"/>
        <v>#DIV/0!</v>
      </c>
      <c r="H71" s="2"/>
      <c r="I71" s="8" t="e">
        <f t="shared" si="17"/>
        <v>#DIV/0!</v>
      </c>
      <c r="J71" s="2"/>
      <c r="K71" s="8" t="e">
        <f t="shared" si="18"/>
        <v>#DIV/0!</v>
      </c>
      <c r="L71" s="2"/>
      <c r="M71" s="8" t="e">
        <f t="shared" si="19"/>
        <v>#DIV/0!</v>
      </c>
      <c r="N71" s="2"/>
      <c r="O71" s="8" t="e">
        <f t="shared" si="20"/>
        <v>#DIV/0!</v>
      </c>
      <c r="P71" s="1"/>
      <c r="Q71" s="8" t="e">
        <f t="shared" si="21"/>
        <v>#DIV/0!</v>
      </c>
    </row>
    <row r="72" spans="1:17" x14ac:dyDescent="0.25">
      <c r="A72" s="1" t="s">
        <v>18</v>
      </c>
      <c r="B72" s="2">
        <f t="shared" si="22"/>
        <v>0</v>
      </c>
      <c r="C72" s="8" t="e">
        <f t="shared" si="23"/>
        <v>#DIV/0!</v>
      </c>
      <c r="D72" s="2"/>
      <c r="E72" s="8" t="e">
        <f t="shared" si="23"/>
        <v>#DIV/0!</v>
      </c>
      <c r="F72" s="2"/>
      <c r="G72" s="8" t="e">
        <f t="shared" si="16"/>
        <v>#DIV/0!</v>
      </c>
      <c r="H72" s="2"/>
      <c r="I72" s="8" t="e">
        <f t="shared" si="17"/>
        <v>#DIV/0!</v>
      </c>
      <c r="J72" s="2"/>
      <c r="K72" s="8" t="e">
        <f t="shared" si="18"/>
        <v>#DIV/0!</v>
      </c>
      <c r="L72" s="2"/>
      <c r="M72" s="8" t="e">
        <f t="shared" si="19"/>
        <v>#DIV/0!</v>
      </c>
      <c r="N72" s="2"/>
      <c r="O72" s="8" t="e">
        <f t="shared" si="20"/>
        <v>#DIV/0!</v>
      </c>
      <c r="P72" s="1"/>
      <c r="Q72" s="8" t="e">
        <f t="shared" si="21"/>
        <v>#DIV/0!</v>
      </c>
    </row>
    <row r="73" spans="1:17" x14ac:dyDescent="0.25">
      <c r="A73" s="1" t="s">
        <v>53</v>
      </c>
      <c r="B73" s="2">
        <f t="shared" si="22"/>
        <v>0</v>
      </c>
      <c r="C73" s="8" t="e">
        <f t="shared" si="23"/>
        <v>#DIV/0!</v>
      </c>
      <c r="D73" s="2"/>
      <c r="E73" s="8" t="e">
        <f t="shared" si="23"/>
        <v>#DIV/0!</v>
      </c>
      <c r="F73" s="2"/>
      <c r="G73" s="8" t="e">
        <f t="shared" si="16"/>
        <v>#DIV/0!</v>
      </c>
      <c r="H73" s="2"/>
      <c r="I73" s="8" t="e">
        <f t="shared" si="17"/>
        <v>#DIV/0!</v>
      </c>
      <c r="J73" s="2"/>
      <c r="K73" s="8" t="e">
        <f t="shared" si="18"/>
        <v>#DIV/0!</v>
      </c>
      <c r="L73" s="2"/>
      <c r="M73" s="8" t="e">
        <f t="shared" si="19"/>
        <v>#DIV/0!</v>
      </c>
      <c r="N73" s="2"/>
      <c r="O73" s="8" t="e">
        <f t="shared" si="20"/>
        <v>#DIV/0!</v>
      </c>
      <c r="P73" s="2"/>
      <c r="Q73" s="8" t="e">
        <f t="shared" si="21"/>
        <v>#DIV/0!</v>
      </c>
    </row>
    <row r="74" spans="1:17" x14ac:dyDescent="0.25">
      <c r="A74" s="1" t="s">
        <v>74</v>
      </c>
      <c r="B74" s="2">
        <f t="shared" si="22"/>
        <v>0</v>
      </c>
      <c r="C74" s="8" t="e">
        <f t="shared" si="23"/>
        <v>#DIV/0!</v>
      </c>
      <c r="D74" s="2"/>
      <c r="E74" s="8" t="e">
        <f t="shared" si="23"/>
        <v>#DIV/0!</v>
      </c>
      <c r="F74" s="2"/>
      <c r="G74" s="8" t="e">
        <f t="shared" si="16"/>
        <v>#DIV/0!</v>
      </c>
      <c r="H74" s="2"/>
      <c r="I74" s="8" t="e">
        <f t="shared" si="17"/>
        <v>#DIV/0!</v>
      </c>
      <c r="J74" s="2"/>
      <c r="K74" s="8" t="e">
        <f t="shared" si="18"/>
        <v>#DIV/0!</v>
      </c>
      <c r="L74" s="2"/>
      <c r="M74" s="8" t="e">
        <f t="shared" si="19"/>
        <v>#DIV/0!</v>
      </c>
      <c r="N74" s="2"/>
      <c r="O74" s="8" t="e">
        <f t="shared" si="20"/>
        <v>#DIV/0!</v>
      </c>
      <c r="P74" s="2">
        <v>0</v>
      </c>
      <c r="Q74" s="8" t="e">
        <f t="shared" si="21"/>
        <v>#DIV/0!</v>
      </c>
    </row>
    <row r="75" spans="1:17" x14ac:dyDescent="0.25">
      <c r="A75" s="1" t="s">
        <v>23</v>
      </c>
      <c r="B75" s="2">
        <f t="shared" si="22"/>
        <v>0</v>
      </c>
      <c r="C75" s="8" t="e">
        <f t="shared" si="23"/>
        <v>#DIV/0!</v>
      </c>
      <c r="D75" s="2"/>
      <c r="E75" s="8" t="e">
        <f t="shared" si="23"/>
        <v>#DIV/0!</v>
      </c>
      <c r="F75" s="2"/>
      <c r="G75" s="8" t="e">
        <f t="shared" si="16"/>
        <v>#DIV/0!</v>
      </c>
      <c r="H75" s="2"/>
      <c r="I75" s="8" t="e">
        <f t="shared" si="17"/>
        <v>#DIV/0!</v>
      </c>
      <c r="J75" s="2"/>
      <c r="K75" s="8" t="e">
        <f t="shared" si="18"/>
        <v>#DIV/0!</v>
      </c>
      <c r="L75" s="2"/>
      <c r="M75" s="8" t="e">
        <f t="shared" si="19"/>
        <v>#DIV/0!</v>
      </c>
      <c r="N75" s="2"/>
      <c r="O75" s="8" t="e">
        <f t="shared" si="20"/>
        <v>#DIV/0!</v>
      </c>
      <c r="P75" s="1"/>
      <c r="Q75" s="8" t="e">
        <f t="shared" si="21"/>
        <v>#DIV/0!</v>
      </c>
    </row>
    <row r="76" spans="1:17" x14ac:dyDescent="0.25">
      <c r="A76" s="1" t="s">
        <v>28</v>
      </c>
      <c r="B76" s="2">
        <f t="shared" si="22"/>
        <v>0</v>
      </c>
      <c r="C76" s="8" t="e">
        <f t="shared" si="23"/>
        <v>#DIV/0!</v>
      </c>
      <c r="D76" s="2"/>
      <c r="E76" s="8" t="e">
        <f t="shared" si="23"/>
        <v>#DIV/0!</v>
      </c>
      <c r="F76" s="2"/>
      <c r="G76" s="8" t="e">
        <f t="shared" si="16"/>
        <v>#DIV/0!</v>
      </c>
      <c r="H76" s="2"/>
      <c r="I76" s="8" t="e">
        <f t="shared" si="17"/>
        <v>#DIV/0!</v>
      </c>
      <c r="J76" s="2"/>
      <c r="K76" s="8" t="e">
        <f t="shared" si="18"/>
        <v>#DIV/0!</v>
      </c>
      <c r="L76" s="2"/>
      <c r="M76" s="8" t="e">
        <f t="shared" si="19"/>
        <v>#DIV/0!</v>
      </c>
      <c r="N76" s="2"/>
      <c r="O76" s="8" t="e">
        <f t="shared" si="20"/>
        <v>#DIV/0!</v>
      </c>
      <c r="P76" s="1"/>
      <c r="Q76" s="8" t="e">
        <f t="shared" si="21"/>
        <v>#DIV/0!</v>
      </c>
    </row>
    <row r="77" spans="1:17" x14ac:dyDescent="0.25">
      <c r="A77" s="1" t="s">
        <v>29</v>
      </c>
      <c r="B77" s="2">
        <f t="shared" si="22"/>
        <v>0</v>
      </c>
      <c r="C77" s="8" t="e">
        <f t="shared" si="23"/>
        <v>#DIV/0!</v>
      </c>
      <c r="D77" s="2"/>
      <c r="E77" s="8" t="e">
        <f t="shared" si="23"/>
        <v>#DIV/0!</v>
      </c>
      <c r="F77" s="2"/>
      <c r="G77" s="8" t="e">
        <f t="shared" si="16"/>
        <v>#DIV/0!</v>
      </c>
      <c r="H77" s="2"/>
      <c r="I77" s="8" t="e">
        <f t="shared" si="17"/>
        <v>#DIV/0!</v>
      </c>
      <c r="J77" s="2"/>
      <c r="K77" s="8" t="e">
        <f t="shared" si="18"/>
        <v>#DIV/0!</v>
      </c>
      <c r="L77" s="2"/>
      <c r="M77" s="8" t="e">
        <f t="shared" si="19"/>
        <v>#DIV/0!</v>
      </c>
      <c r="N77" s="2"/>
      <c r="O77" s="8" t="e">
        <f t="shared" si="20"/>
        <v>#DIV/0!</v>
      </c>
      <c r="P77" s="1"/>
      <c r="Q77" s="8" t="e">
        <f t="shared" si="21"/>
        <v>#DIV/0!</v>
      </c>
    </row>
    <row r="78" spans="1:17" x14ac:dyDescent="0.25">
      <c r="A78" s="1" t="s">
        <v>52</v>
      </c>
      <c r="B78" s="2">
        <f t="shared" si="22"/>
        <v>0</v>
      </c>
      <c r="C78" s="8" t="e">
        <f t="shared" si="23"/>
        <v>#DIV/0!</v>
      </c>
      <c r="D78" s="2"/>
      <c r="E78" s="8" t="e">
        <f t="shared" si="23"/>
        <v>#DIV/0!</v>
      </c>
      <c r="F78" s="2"/>
      <c r="G78" s="8" t="e">
        <f t="shared" si="16"/>
        <v>#DIV/0!</v>
      </c>
      <c r="H78" s="2"/>
      <c r="I78" s="8" t="e">
        <f t="shared" si="17"/>
        <v>#DIV/0!</v>
      </c>
      <c r="J78" s="2"/>
      <c r="K78" s="8" t="e">
        <f t="shared" si="18"/>
        <v>#DIV/0!</v>
      </c>
      <c r="L78" s="2"/>
      <c r="M78" s="8" t="e">
        <f t="shared" si="19"/>
        <v>#DIV/0!</v>
      </c>
      <c r="N78" s="2"/>
      <c r="O78" s="8" t="e">
        <f t="shared" si="20"/>
        <v>#DIV/0!</v>
      </c>
      <c r="P78" s="1"/>
      <c r="Q78" s="8" t="e">
        <f t="shared" si="21"/>
        <v>#DIV/0!</v>
      </c>
    </row>
    <row r="79" spans="1:17" x14ac:dyDescent="0.25">
      <c r="A79" s="1" t="s">
        <v>51</v>
      </c>
      <c r="B79" s="2">
        <f t="shared" si="22"/>
        <v>0</v>
      </c>
      <c r="C79" s="8" t="e">
        <f t="shared" si="23"/>
        <v>#DIV/0!</v>
      </c>
      <c r="D79" s="2"/>
      <c r="E79" s="8" t="e">
        <f t="shared" si="23"/>
        <v>#DIV/0!</v>
      </c>
      <c r="F79" s="2"/>
      <c r="G79" s="8" t="e">
        <f t="shared" si="16"/>
        <v>#DIV/0!</v>
      </c>
      <c r="H79" s="2"/>
      <c r="I79" s="8" t="e">
        <f t="shared" si="17"/>
        <v>#DIV/0!</v>
      </c>
      <c r="J79" s="2"/>
      <c r="K79" s="8" t="e">
        <f t="shared" si="18"/>
        <v>#DIV/0!</v>
      </c>
      <c r="L79" s="2"/>
      <c r="M79" s="8" t="e">
        <f t="shared" si="19"/>
        <v>#DIV/0!</v>
      </c>
      <c r="N79" s="2"/>
      <c r="O79" s="8" t="e">
        <f t="shared" si="20"/>
        <v>#DIV/0!</v>
      </c>
      <c r="P79" s="1"/>
      <c r="Q79" s="8" t="e">
        <f t="shared" si="21"/>
        <v>#DIV/0!</v>
      </c>
    </row>
    <row r="80" spans="1:17" x14ac:dyDescent="0.25">
      <c r="A80" s="1" t="s">
        <v>31</v>
      </c>
      <c r="B80" s="2">
        <f t="shared" si="22"/>
        <v>0</v>
      </c>
      <c r="C80" s="8" t="e">
        <f t="shared" si="23"/>
        <v>#DIV/0!</v>
      </c>
      <c r="D80" s="2"/>
      <c r="E80" s="8" t="e">
        <f t="shared" si="23"/>
        <v>#DIV/0!</v>
      </c>
      <c r="F80" s="2"/>
      <c r="G80" s="8" t="e">
        <f t="shared" si="16"/>
        <v>#DIV/0!</v>
      </c>
      <c r="H80" s="2"/>
      <c r="I80" s="8" t="e">
        <f t="shared" si="17"/>
        <v>#DIV/0!</v>
      </c>
      <c r="J80" s="2"/>
      <c r="K80" s="8" t="e">
        <f t="shared" si="18"/>
        <v>#DIV/0!</v>
      </c>
      <c r="L80" s="2"/>
      <c r="M80" s="8" t="e">
        <f t="shared" si="19"/>
        <v>#DIV/0!</v>
      </c>
      <c r="N80" s="2"/>
      <c r="O80" s="8" t="e">
        <f t="shared" si="20"/>
        <v>#DIV/0!</v>
      </c>
      <c r="P80" s="1"/>
      <c r="Q80" s="8" t="e">
        <f t="shared" si="21"/>
        <v>#DIV/0!</v>
      </c>
    </row>
    <row r="81" spans="1:17" x14ac:dyDescent="0.25">
      <c r="A81" s="1" t="s">
        <v>82</v>
      </c>
      <c r="B81" s="2">
        <f t="shared" si="22"/>
        <v>0</v>
      </c>
      <c r="C81" s="8" t="e">
        <f t="shared" ref="C81:E89" si="24">B81/B$4</f>
        <v>#DIV/0!</v>
      </c>
      <c r="D81" s="2"/>
      <c r="E81" s="8" t="e">
        <f t="shared" ref="E81" si="25">D81/D$4</f>
        <v>#DIV/0!</v>
      </c>
      <c r="F81" s="2"/>
      <c r="G81" s="8" t="e">
        <f t="shared" si="16"/>
        <v>#DIV/0!</v>
      </c>
      <c r="H81" s="2"/>
      <c r="I81" s="8" t="e">
        <f t="shared" si="17"/>
        <v>#DIV/0!</v>
      </c>
      <c r="J81" s="2"/>
      <c r="K81" s="8" t="e">
        <f t="shared" si="18"/>
        <v>#DIV/0!</v>
      </c>
      <c r="L81" s="2"/>
      <c r="M81" s="8" t="e">
        <f t="shared" si="19"/>
        <v>#DIV/0!</v>
      </c>
      <c r="N81" s="2"/>
      <c r="O81" s="8" t="e">
        <f t="shared" si="20"/>
        <v>#DIV/0!</v>
      </c>
      <c r="P81" s="1"/>
      <c r="Q81" s="8" t="e">
        <f t="shared" si="21"/>
        <v>#DIV/0!</v>
      </c>
    </row>
    <row r="82" spans="1:17" x14ac:dyDescent="0.25">
      <c r="A82" s="1" t="s">
        <v>19</v>
      </c>
      <c r="B82" s="2">
        <f t="shared" si="22"/>
        <v>0</v>
      </c>
      <c r="C82" s="8" t="e">
        <f t="shared" si="24"/>
        <v>#DIV/0!</v>
      </c>
      <c r="D82" s="2"/>
      <c r="E82" s="8" t="e">
        <f t="shared" si="24"/>
        <v>#DIV/0!</v>
      </c>
      <c r="F82" s="2"/>
      <c r="G82" s="8" t="e">
        <f t="shared" si="16"/>
        <v>#DIV/0!</v>
      </c>
      <c r="H82" s="2"/>
      <c r="I82" s="8" t="e">
        <f t="shared" si="17"/>
        <v>#DIV/0!</v>
      </c>
      <c r="J82" s="2"/>
      <c r="K82" s="8" t="e">
        <f t="shared" si="18"/>
        <v>#DIV/0!</v>
      </c>
      <c r="L82" s="2"/>
      <c r="M82" s="8" t="e">
        <f t="shared" si="19"/>
        <v>#DIV/0!</v>
      </c>
      <c r="N82" s="2"/>
      <c r="O82" s="8" t="e">
        <f t="shared" si="20"/>
        <v>#DIV/0!</v>
      </c>
      <c r="P82" s="2"/>
      <c r="Q82" s="8" t="e">
        <f t="shared" si="21"/>
        <v>#DIV/0!</v>
      </c>
    </row>
    <row r="83" spans="1:17" x14ac:dyDescent="0.25">
      <c r="A83" s="13" t="s">
        <v>43</v>
      </c>
      <c r="B83" s="12"/>
      <c r="C83" s="14" t="e">
        <f t="shared" si="24"/>
        <v>#DIV/0!</v>
      </c>
      <c r="D83" s="12" t="e">
        <f>B83*E4</f>
        <v>#DIV/0!</v>
      </c>
      <c r="E83" s="14" t="e">
        <f t="shared" si="24"/>
        <v>#DIV/0!</v>
      </c>
      <c r="F83" s="12" t="e">
        <f>B83*G4</f>
        <v>#DIV/0!</v>
      </c>
      <c r="G83" s="14" t="e">
        <f t="shared" si="16"/>
        <v>#DIV/0!</v>
      </c>
      <c r="H83" s="12" t="e">
        <f>B83*I4</f>
        <v>#DIV/0!</v>
      </c>
      <c r="I83" s="14" t="e">
        <f t="shared" si="17"/>
        <v>#DIV/0!</v>
      </c>
      <c r="J83" s="12" t="e">
        <f>B83*K4</f>
        <v>#DIV/0!</v>
      </c>
      <c r="K83" s="14" t="e">
        <f t="shared" si="18"/>
        <v>#DIV/0!</v>
      </c>
      <c r="L83" s="12" t="e">
        <f>B83*M4</f>
        <v>#DIV/0!</v>
      </c>
      <c r="M83" s="14" t="e">
        <f t="shared" si="19"/>
        <v>#DIV/0!</v>
      </c>
      <c r="N83" s="12" t="e">
        <f>B83*O4</f>
        <v>#DIV/0!</v>
      </c>
      <c r="O83" s="14" t="e">
        <f t="shared" si="20"/>
        <v>#DIV/0!</v>
      </c>
      <c r="P83" s="12"/>
      <c r="Q83" s="14" t="e">
        <f t="shared" si="21"/>
        <v>#DIV/0!</v>
      </c>
    </row>
    <row r="84" spans="1:17" x14ac:dyDescent="0.25">
      <c r="A84" s="1" t="s">
        <v>30</v>
      </c>
      <c r="B84" s="2">
        <f t="shared" si="22"/>
        <v>0</v>
      </c>
      <c r="C84" s="8" t="e">
        <f t="shared" si="24"/>
        <v>#DIV/0!</v>
      </c>
      <c r="D84" s="2"/>
      <c r="E84" s="8" t="e">
        <f t="shared" si="24"/>
        <v>#DIV/0!</v>
      </c>
      <c r="F84" s="2"/>
      <c r="G84" s="8" t="e">
        <f t="shared" si="16"/>
        <v>#DIV/0!</v>
      </c>
      <c r="H84" s="2"/>
      <c r="I84" s="8" t="e">
        <f t="shared" si="17"/>
        <v>#DIV/0!</v>
      </c>
      <c r="J84" s="2">
        <v>0</v>
      </c>
      <c r="K84" s="8" t="e">
        <f t="shared" si="18"/>
        <v>#DIV/0!</v>
      </c>
      <c r="L84" s="2">
        <v>0</v>
      </c>
      <c r="M84" s="8" t="e">
        <f t="shared" si="19"/>
        <v>#DIV/0!</v>
      </c>
      <c r="N84" s="2"/>
      <c r="O84" s="8" t="e">
        <f t="shared" si="20"/>
        <v>#DIV/0!</v>
      </c>
      <c r="P84" s="1"/>
      <c r="Q84" s="8" t="e">
        <f t="shared" si="21"/>
        <v>#DIV/0!</v>
      </c>
    </row>
    <row r="85" spans="1:17" x14ac:dyDescent="0.25">
      <c r="A85" s="1" t="s">
        <v>27</v>
      </c>
      <c r="B85" s="2">
        <f t="shared" si="22"/>
        <v>0</v>
      </c>
      <c r="C85" s="8" t="e">
        <f t="shared" si="24"/>
        <v>#DIV/0!</v>
      </c>
      <c r="D85" s="2">
        <v>0</v>
      </c>
      <c r="E85" s="8" t="e">
        <f t="shared" si="24"/>
        <v>#DIV/0!</v>
      </c>
      <c r="F85" s="2"/>
      <c r="G85" s="8" t="e">
        <f t="shared" si="16"/>
        <v>#DIV/0!</v>
      </c>
      <c r="H85" s="2"/>
      <c r="I85" s="8" t="e">
        <f t="shared" si="17"/>
        <v>#DIV/0!</v>
      </c>
      <c r="J85" s="2">
        <v>0</v>
      </c>
      <c r="K85" s="8" t="e">
        <f t="shared" si="18"/>
        <v>#DIV/0!</v>
      </c>
      <c r="L85" s="2">
        <v>0</v>
      </c>
      <c r="M85" s="8" t="e">
        <f t="shared" si="19"/>
        <v>#DIV/0!</v>
      </c>
      <c r="N85" s="2"/>
      <c r="O85" s="8" t="e">
        <f t="shared" si="20"/>
        <v>#DIV/0!</v>
      </c>
      <c r="P85" s="1"/>
      <c r="Q85" s="8" t="e">
        <f t="shared" si="21"/>
        <v>#DIV/0!</v>
      </c>
    </row>
    <row r="86" spans="1:17" x14ac:dyDescent="0.25">
      <c r="A86" s="1" t="s">
        <v>55</v>
      </c>
      <c r="B86" s="2">
        <f t="shared" si="22"/>
        <v>0</v>
      </c>
      <c r="C86" s="8" t="e">
        <f t="shared" si="24"/>
        <v>#DIV/0!</v>
      </c>
      <c r="D86" s="2">
        <v>0</v>
      </c>
      <c r="E86" s="8" t="e">
        <f t="shared" si="24"/>
        <v>#DIV/0!</v>
      </c>
      <c r="F86" s="2">
        <v>0</v>
      </c>
      <c r="G86" s="8" t="e">
        <f t="shared" si="16"/>
        <v>#DIV/0!</v>
      </c>
      <c r="H86" s="2">
        <v>0</v>
      </c>
      <c r="I86" s="8" t="e">
        <f t="shared" si="17"/>
        <v>#DIV/0!</v>
      </c>
      <c r="J86" s="2"/>
      <c r="K86" s="8" t="e">
        <f t="shared" si="18"/>
        <v>#DIV/0!</v>
      </c>
      <c r="L86" s="2">
        <v>0</v>
      </c>
      <c r="M86" s="8" t="e">
        <f t="shared" si="19"/>
        <v>#DIV/0!</v>
      </c>
      <c r="N86" s="2">
        <v>0</v>
      </c>
      <c r="O86" s="8" t="e">
        <f t="shared" si="20"/>
        <v>#DIV/0!</v>
      </c>
      <c r="P86" s="1"/>
      <c r="Q86" s="8" t="e">
        <f t="shared" si="21"/>
        <v>#DIV/0!</v>
      </c>
    </row>
    <row r="87" spans="1:17" x14ac:dyDescent="0.25">
      <c r="A87" s="13" t="s">
        <v>20</v>
      </c>
      <c r="B87" s="12"/>
      <c r="C87" s="14" t="e">
        <f t="shared" si="24"/>
        <v>#DIV/0!</v>
      </c>
      <c r="D87" s="12" t="e">
        <f>B87*E4</f>
        <v>#DIV/0!</v>
      </c>
      <c r="E87" s="14" t="e">
        <f t="shared" si="24"/>
        <v>#DIV/0!</v>
      </c>
      <c r="F87" s="12" t="e">
        <f>B87*G4</f>
        <v>#DIV/0!</v>
      </c>
      <c r="G87" s="14" t="e">
        <f t="shared" si="16"/>
        <v>#DIV/0!</v>
      </c>
      <c r="H87" s="12" t="e">
        <f>B87*I4</f>
        <v>#DIV/0!</v>
      </c>
      <c r="I87" s="14" t="e">
        <f t="shared" si="17"/>
        <v>#DIV/0!</v>
      </c>
      <c r="J87" s="12" t="e">
        <f>B87*K4</f>
        <v>#DIV/0!</v>
      </c>
      <c r="K87" s="14" t="e">
        <f t="shared" si="18"/>
        <v>#DIV/0!</v>
      </c>
      <c r="L87" s="12" t="e">
        <f>B87*M4</f>
        <v>#DIV/0!</v>
      </c>
      <c r="M87" s="14" t="e">
        <f t="shared" si="19"/>
        <v>#DIV/0!</v>
      </c>
      <c r="N87" s="12" t="e">
        <f>B87*O4</f>
        <v>#DIV/0!</v>
      </c>
      <c r="O87" s="14" t="e">
        <f t="shared" si="20"/>
        <v>#DIV/0!</v>
      </c>
      <c r="P87" s="12"/>
      <c r="Q87" s="14" t="e">
        <f t="shared" si="21"/>
        <v>#DIV/0!</v>
      </c>
    </row>
    <row r="88" spans="1:17" x14ac:dyDescent="0.25">
      <c r="A88" s="1" t="s">
        <v>63</v>
      </c>
      <c r="B88" s="2">
        <f t="shared" si="22"/>
        <v>0</v>
      </c>
      <c r="C88" s="8" t="e">
        <f t="shared" si="24"/>
        <v>#DIV/0!</v>
      </c>
      <c r="D88" s="2"/>
      <c r="E88" s="8" t="e">
        <f t="shared" si="24"/>
        <v>#DIV/0!</v>
      </c>
      <c r="F88" s="2"/>
      <c r="G88" s="8" t="e">
        <f t="shared" si="16"/>
        <v>#DIV/0!</v>
      </c>
      <c r="H88" s="2"/>
      <c r="I88" s="8" t="e">
        <f t="shared" si="17"/>
        <v>#DIV/0!</v>
      </c>
      <c r="J88" s="2"/>
      <c r="K88" s="8" t="e">
        <f t="shared" si="18"/>
        <v>#DIV/0!</v>
      </c>
      <c r="L88" s="2"/>
      <c r="M88" s="8" t="e">
        <f t="shared" si="19"/>
        <v>#DIV/0!</v>
      </c>
      <c r="N88" s="2"/>
      <c r="O88" s="8" t="e">
        <f t="shared" si="20"/>
        <v>#DIV/0!</v>
      </c>
      <c r="P88" s="2"/>
      <c r="Q88" s="8" t="e">
        <f t="shared" si="21"/>
        <v>#DIV/0!</v>
      </c>
    </row>
    <row r="89" spans="1:17" x14ac:dyDescent="0.25">
      <c r="A89" s="1" t="s">
        <v>26</v>
      </c>
      <c r="B89" s="2">
        <f t="shared" si="22"/>
        <v>0</v>
      </c>
      <c r="C89" s="8" t="e">
        <f t="shared" si="24"/>
        <v>#DIV/0!</v>
      </c>
      <c r="D89" s="2"/>
      <c r="E89" s="8" t="e">
        <f t="shared" si="24"/>
        <v>#DIV/0!</v>
      </c>
      <c r="F89" s="2"/>
      <c r="G89" s="8" t="e">
        <f t="shared" si="16"/>
        <v>#DIV/0!</v>
      </c>
      <c r="H89" s="2">
        <v>0</v>
      </c>
      <c r="I89" s="8" t="e">
        <f t="shared" si="17"/>
        <v>#DIV/0!</v>
      </c>
      <c r="J89" s="2"/>
      <c r="K89" s="8" t="e">
        <f t="shared" si="18"/>
        <v>#DIV/0!</v>
      </c>
      <c r="L89" s="2"/>
      <c r="M89" s="8" t="e">
        <f t="shared" si="19"/>
        <v>#DIV/0!</v>
      </c>
      <c r="N89" s="2">
        <v>0</v>
      </c>
      <c r="O89" s="8" t="e">
        <f t="shared" si="20"/>
        <v>#DIV/0!</v>
      </c>
      <c r="P89" s="1"/>
      <c r="Q89" s="8" t="e">
        <f t="shared" si="21"/>
        <v>#DIV/0!</v>
      </c>
    </row>
    <row r="90" spans="1:17" x14ac:dyDescent="0.25">
      <c r="B90" s="84"/>
      <c r="C90" s="85"/>
    </row>
    <row r="91" spans="1:17" x14ac:dyDescent="0.25">
      <c r="B91" s="84"/>
      <c r="D91" s="84"/>
      <c r="F91" s="84"/>
      <c r="H91" s="84"/>
      <c r="J91" s="84"/>
      <c r="L91" s="84"/>
      <c r="N91" s="84"/>
    </row>
    <row r="94" spans="1:17" x14ac:dyDescent="0.25">
      <c r="A94" s="17" t="s">
        <v>101</v>
      </c>
    </row>
    <row r="95" spans="1:17" x14ac:dyDescent="0.25">
      <c r="A95" s="70"/>
      <c r="B95" s="70"/>
      <c r="C95" s="70"/>
    </row>
    <row r="99" spans="6:6" x14ac:dyDescent="0.25">
      <c r="F99" s="84"/>
    </row>
  </sheetData>
  <mergeCells count="2">
    <mergeCell ref="A1:Q1"/>
    <mergeCell ref="A2:P2"/>
  </mergeCells>
  <conditionalFormatting sqref="B25:Q28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53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6"/>
  <sheetViews>
    <sheetView showGridLines="0" tabSelected="1" topLeftCell="A73" zoomScaleNormal="100" workbookViewId="0">
      <selection sqref="A1:Q1"/>
    </sheetView>
  </sheetViews>
  <sheetFormatPr defaultRowHeight="15" x14ac:dyDescent="0.25"/>
  <cols>
    <col min="1" max="1" width="32.140625" customWidth="1"/>
    <col min="2" max="2" width="24.28515625" bestFit="1" customWidth="1"/>
    <col min="3" max="3" width="14.85546875" customWidth="1"/>
    <col min="4" max="4" width="14.42578125" bestFit="1" customWidth="1"/>
    <col min="5" max="5" width="12.140625" bestFit="1" customWidth="1"/>
    <col min="6" max="6" width="16.28515625" bestFit="1" customWidth="1"/>
    <col min="7" max="7" width="12.28515625" customWidth="1"/>
    <col min="8" max="8" width="13.28515625" bestFit="1" customWidth="1"/>
    <col min="9" max="9" width="9" customWidth="1"/>
    <col min="10" max="10" width="13.28515625" bestFit="1" customWidth="1"/>
    <col min="11" max="11" width="7.85546875" bestFit="1" customWidth="1"/>
    <col min="12" max="12" width="15.42578125" bestFit="1" customWidth="1"/>
    <col min="13" max="13" width="8.5703125" bestFit="1" customWidth="1"/>
    <col min="14" max="14" width="13.28515625" bestFit="1" customWidth="1"/>
    <col min="15" max="15" width="10.28515625" customWidth="1"/>
    <col min="16" max="16" width="12.140625" customWidth="1"/>
    <col min="17" max="17" width="10.7109375" customWidth="1"/>
  </cols>
  <sheetData>
    <row r="1" spans="1:17" x14ac:dyDescent="0.25">
      <c r="A1" s="87" t="s">
        <v>114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 x14ac:dyDescent="0.25">
      <c r="A2" s="88" t="s">
        <v>35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17" x14ac:dyDescent="0.25">
      <c r="A3" s="5" t="s">
        <v>50</v>
      </c>
      <c r="B3" s="5" t="s">
        <v>49</v>
      </c>
      <c r="C3" s="16" t="s">
        <v>57</v>
      </c>
      <c r="D3" s="5" t="s">
        <v>58</v>
      </c>
      <c r="E3" s="16" t="s">
        <v>57</v>
      </c>
      <c r="F3" s="5" t="s">
        <v>59</v>
      </c>
      <c r="G3" s="16" t="s">
        <v>57</v>
      </c>
      <c r="H3" s="5" t="s">
        <v>60</v>
      </c>
      <c r="I3" s="16" t="s">
        <v>57</v>
      </c>
      <c r="J3" s="5" t="s">
        <v>61</v>
      </c>
      <c r="K3" s="16" t="s">
        <v>57</v>
      </c>
      <c r="L3" s="5" t="s">
        <v>65</v>
      </c>
      <c r="M3" s="16" t="s">
        <v>57</v>
      </c>
      <c r="N3" s="5" t="s">
        <v>38</v>
      </c>
      <c r="O3" s="16" t="s">
        <v>57</v>
      </c>
      <c r="P3" s="5" t="s">
        <v>2</v>
      </c>
      <c r="Q3" s="16" t="s">
        <v>57</v>
      </c>
    </row>
    <row r="4" spans="1:17" s="17" customFormat="1" x14ac:dyDescent="0.25">
      <c r="A4" s="3" t="s">
        <v>34</v>
      </c>
      <c r="B4" s="4">
        <f>SUM(B5:B13)</f>
        <v>333278.79000000004</v>
      </c>
      <c r="C4" s="9">
        <f>B4/B$4</f>
        <v>1</v>
      </c>
      <c r="D4" s="4">
        <f>SUM(D5:D12)</f>
        <v>133867.69</v>
      </c>
      <c r="E4" s="9">
        <f>D4/B$4</f>
        <v>0.40166879506493641</v>
      </c>
      <c r="F4" s="4">
        <f>SUM(F5:F12)</f>
        <v>71370.95</v>
      </c>
      <c r="G4" s="9">
        <f>F4/B4</f>
        <v>0.21414789101940748</v>
      </c>
      <c r="H4" s="4">
        <f>SUM(H5:H12)</f>
        <v>6549.6</v>
      </c>
      <c r="I4" s="9">
        <f>H4/B4</f>
        <v>1.9652015659322335E-2</v>
      </c>
      <c r="J4" s="4">
        <f>SUM(J5:J12)</f>
        <v>11854.380000000001</v>
      </c>
      <c r="K4" s="9">
        <f>J4/B4</f>
        <v>3.5568960148949169E-2</v>
      </c>
      <c r="L4" s="4">
        <f>SUM(L5:L12)</f>
        <v>36173.410000000003</v>
      </c>
      <c r="M4" s="9">
        <f>L4/B4</f>
        <v>0.10853799007131537</v>
      </c>
      <c r="N4" s="4">
        <f>SUM(N5:N12)</f>
        <v>68462.759999999995</v>
      </c>
      <c r="O4" s="9">
        <f>N4/B4</f>
        <v>0.20542189318438173</v>
      </c>
      <c r="P4" s="4">
        <f>SUM(P5:P12)</f>
        <v>0</v>
      </c>
      <c r="Q4" s="9">
        <f>P4/D4</f>
        <v>0</v>
      </c>
    </row>
    <row r="5" spans="1:17" x14ac:dyDescent="0.25">
      <c r="A5" s="1" t="s">
        <v>36</v>
      </c>
      <c r="B5" s="2">
        <f>D5+F5+H5+J5+L5+N5</f>
        <v>14695.109999999997</v>
      </c>
      <c r="C5" s="8">
        <f>B5/B$4</f>
        <v>4.4092544863115937E-2</v>
      </c>
      <c r="D5" s="2">
        <v>5953.79</v>
      </c>
      <c r="E5" s="8">
        <f>D5/D$4</f>
        <v>4.4475182921285931E-2</v>
      </c>
      <c r="F5" s="7">
        <v>1873.86</v>
      </c>
      <c r="G5" s="8">
        <f>F5/F$4</f>
        <v>2.6255220086043411E-2</v>
      </c>
      <c r="H5" s="7">
        <v>1392.8</v>
      </c>
      <c r="I5" s="8">
        <f>H5/H$4</f>
        <v>0.21265420789055819</v>
      </c>
      <c r="J5" s="6">
        <v>1311.8</v>
      </c>
      <c r="K5" s="8">
        <f>J5/J$4</f>
        <v>0.11065951994115254</v>
      </c>
      <c r="L5" s="1">
        <v>4162.8599999999997</v>
      </c>
      <c r="M5" s="8">
        <f>L5/L$4</f>
        <v>0.1150806628404676</v>
      </c>
      <c r="N5" s="2">
        <v>0</v>
      </c>
      <c r="O5" s="8">
        <f>N5/N$4</f>
        <v>0</v>
      </c>
      <c r="P5" s="2"/>
      <c r="Q5" s="8" t="e">
        <f>P5/P$4</f>
        <v>#DIV/0!</v>
      </c>
    </row>
    <row r="6" spans="1:17" x14ac:dyDescent="0.25">
      <c r="A6" s="1" t="s">
        <v>37</v>
      </c>
      <c r="B6" s="2">
        <f t="shared" ref="B6:B13" si="0">D6+F6+H6+J6+L6+N6</f>
        <v>29647.800000000003</v>
      </c>
      <c r="C6" s="8">
        <f t="shared" ref="C6:E13" si="1">B6/B$4</f>
        <v>8.8957956190371432E-2</v>
      </c>
      <c r="D6" s="2">
        <v>10062.4</v>
      </c>
      <c r="E6" s="8">
        <f t="shared" si="1"/>
        <v>7.5166756070863691E-2</v>
      </c>
      <c r="F6" s="7">
        <v>8873.6200000000008</v>
      </c>
      <c r="G6" s="8">
        <f t="shared" ref="G6:G12" si="2">F6/F$4</f>
        <v>0.1243309777997911</v>
      </c>
      <c r="H6" s="7">
        <v>3214.8</v>
      </c>
      <c r="I6" s="8">
        <f t="shared" ref="I6:I12" si="3">H6/H$4</f>
        <v>0.49083913521436423</v>
      </c>
      <c r="J6" s="2">
        <v>3797.58</v>
      </c>
      <c r="K6" s="8">
        <f t="shared" ref="K6:K12" si="4">J6/J$4</f>
        <v>0.3203524773121833</v>
      </c>
      <c r="L6" s="1">
        <v>3699.4</v>
      </c>
      <c r="M6" s="8">
        <f t="shared" ref="M6:M12" si="5">L6/L$4</f>
        <v>0.10226848947887411</v>
      </c>
      <c r="N6" s="2"/>
      <c r="O6" s="8">
        <f t="shared" ref="O6:Q12" si="6">N6/N$4</f>
        <v>0</v>
      </c>
      <c r="P6" s="2"/>
      <c r="Q6" s="8" t="e">
        <f t="shared" si="6"/>
        <v>#DIV/0!</v>
      </c>
    </row>
    <row r="7" spans="1:17" x14ac:dyDescent="0.25">
      <c r="A7" s="1" t="s">
        <v>39</v>
      </c>
      <c r="B7" s="2">
        <f t="shared" si="0"/>
        <v>210720.73</v>
      </c>
      <c r="C7" s="8">
        <f t="shared" si="1"/>
        <v>0.63226564762792137</v>
      </c>
      <c r="D7" s="2">
        <v>113099.11</v>
      </c>
      <c r="E7" s="8">
        <f t="shared" si="1"/>
        <v>0.84485741107506973</v>
      </c>
      <c r="F7" s="42">
        <v>60623.47</v>
      </c>
      <c r="G7" s="8">
        <f t="shared" si="2"/>
        <v>0.84941380211416551</v>
      </c>
      <c r="H7" s="2">
        <v>1942</v>
      </c>
      <c r="I7" s="8">
        <f t="shared" si="3"/>
        <v>0.29650665689507755</v>
      </c>
      <c r="J7" s="2">
        <v>6745</v>
      </c>
      <c r="K7" s="8">
        <f t="shared" si="4"/>
        <v>0.56898800274666406</v>
      </c>
      <c r="L7" s="2">
        <v>28311.15</v>
      </c>
      <c r="M7" s="8">
        <f t="shared" si="5"/>
        <v>0.78265084768065818</v>
      </c>
      <c r="N7" s="2"/>
      <c r="O7" s="8">
        <f t="shared" si="6"/>
        <v>0</v>
      </c>
      <c r="P7" s="2"/>
      <c r="Q7" s="8" t="e">
        <f t="shared" si="6"/>
        <v>#DIV/0!</v>
      </c>
    </row>
    <row r="8" spans="1:17" x14ac:dyDescent="0.25">
      <c r="A8" s="1" t="s">
        <v>40</v>
      </c>
      <c r="B8" s="2">
        <f t="shared" si="0"/>
        <v>0</v>
      </c>
      <c r="C8" s="8">
        <f t="shared" si="1"/>
        <v>0</v>
      </c>
      <c r="D8" s="2">
        <v>0</v>
      </c>
      <c r="E8" s="8">
        <f t="shared" si="1"/>
        <v>0</v>
      </c>
      <c r="F8" s="2">
        <v>0</v>
      </c>
      <c r="G8" s="8">
        <f t="shared" si="2"/>
        <v>0</v>
      </c>
      <c r="H8" s="2"/>
      <c r="I8" s="8">
        <f t="shared" si="3"/>
        <v>0</v>
      </c>
      <c r="J8" s="2"/>
      <c r="K8" s="8">
        <f t="shared" si="4"/>
        <v>0</v>
      </c>
      <c r="L8" s="2"/>
      <c r="M8" s="8">
        <f t="shared" si="5"/>
        <v>0</v>
      </c>
      <c r="N8" s="2"/>
      <c r="O8" s="8">
        <f t="shared" si="6"/>
        <v>0</v>
      </c>
      <c r="P8" s="2"/>
      <c r="Q8" s="8" t="e">
        <f t="shared" si="6"/>
        <v>#DIV/0!</v>
      </c>
    </row>
    <row r="9" spans="1:17" x14ac:dyDescent="0.25">
      <c r="A9" s="1" t="s">
        <v>56</v>
      </c>
      <c r="B9" s="2">
        <f t="shared" si="0"/>
        <v>575.5</v>
      </c>
      <c r="C9" s="8">
        <f t="shared" si="1"/>
        <v>1.7267825534292174E-3</v>
      </c>
      <c r="D9" s="2">
        <v>575.5</v>
      </c>
      <c r="E9" s="8">
        <f t="shared" si="1"/>
        <v>4.2990209213291126E-3</v>
      </c>
      <c r="F9" s="2"/>
      <c r="G9" s="8">
        <f t="shared" si="2"/>
        <v>0</v>
      </c>
      <c r="H9" s="2"/>
      <c r="I9" s="8">
        <f t="shared" si="3"/>
        <v>0</v>
      </c>
      <c r="J9" s="2"/>
      <c r="K9" s="8">
        <f t="shared" si="4"/>
        <v>0</v>
      </c>
      <c r="L9" s="2"/>
      <c r="M9" s="8">
        <f t="shared" si="5"/>
        <v>0</v>
      </c>
      <c r="N9" s="2"/>
      <c r="O9" s="8">
        <f t="shared" si="6"/>
        <v>0</v>
      </c>
      <c r="P9" s="2"/>
      <c r="Q9" s="8" t="e">
        <f t="shared" si="6"/>
        <v>#DIV/0!</v>
      </c>
    </row>
    <row r="10" spans="1:17" x14ac:dyDescent="0.25">
      <c r="A10" s="1" t="s">
        <v>48</v>
      </c>
      <c r="B10" s="2">
        <f t="shared" si="0"/>
        <v>4176.8900000000003</v>
      </c>
      <c r="C10" s="8">
        <f t="shared" si="1"/>
        <v>1.2532720729092901E-2</v>
      </c>
      <c r="D10" s="2">
        <v>4176.8900000000003</v>
      </c>
      <c r="E10" s="8">
        <f t="shared" si="1"/>
        <v>3.1201629011451532E-2</v>
      </c>
      <c r="F10" s="2"/>
      <c r="G10" s="8">
        <f t="shared" si="2"/>
        <v>0</v>
      </c>
      <c r="H10" s="2"/>
      <c r="I10" s="8">
        <f t="shared" si="3"/>
        <v>0</v>
      </c>
      <c r="J10" s="2"/>
      <c r="K10" s="8">
        <f t="shared" si="4"/>
        <v>0</v>
      </c>
      <c r="L10" s="2">
        <v>0</v>
      </c>
      <c r="M10" s="8">
        <f t="shared" si="5"/>
        <v>0</v>
      </c>
      <c r="N10" s="2"/>
      <c r="O10" s="8">
        <f t="shared" si="6"/>
        <v>0</v>
      </c>
      <c r="P10" s="2"/>
      <c r="Q10" s="8" t="e">
        <f t="shared" si="6"/>
        <v>#DIV/0!</v>
      </c>
    </row>
    <row r="11" spans="1:17" x14ac:dyDescent="0.25">
      <c r="A11" s="1" t="s">
        <v>47</v>
      </c>
      <c r="B11" s="2">
        <f t="shared" si="0"/>
        <v>1100</v>
      </c>
      <c r="C11" s="8">
        <f t="shared" si="1"/>
        <v>3.3005400673712234E-3</v>
      </c>
      <c r="D11" s="2"/>
      <c r="E11" s="8">
        <f t="shared" si="1"/>
        <v>0</v>
      </c>
      <c r="F11" s="2"/>
      <c r="G11" s="8">
        <f t="shared" si="2"/>
        <v>0</v>
      </c>
      <c r="H11" s="2"/>
      <c r="I11" s="8">
        <f t="shared" si="3"/>
        <v>0</v>
      </c>
      <c r="J11" s="2">
        <v>0</v>
      </c>
      <c r="K11" s="8">
        <f t="shared" si="4"/>
        <v>0</v>
      </c>
      <c r="L11" s="2">
        <v>0</v>
      </c>
      <c r="M11" s="8">
        <f t="shared" si="5"/>
        <v>0</v>
      </c>
      <c r="N11" s="2">
        <v>1100</v>
      </c>
      <c r="O11" s="8">
        <f t="shared" si="6"/>
        <v>1.606712904942775E-2</v>
      </c>
      <c r="P11" s="2">
        <v>0</v>
      </c>
      <c r="Q11" s="8" t="e">
        <f t="shared" si="6"/>
        <v>#DIV/0!</v>
      </c>
    </row>
    <row r="12" spans="1:17" x14ac:dyDescent="0.25">
      <c r="A12" s="1" t="s">
        <v>41</v>
      </c>
      <c r="B12" s="2">
        <f t="shared" si="0"/>
        <v>67362.759999999995</v>
      </c>
      <c r="C12" s="8">
        <f t="shared" si="1"/>
        <v>0.20212135311701049</v>
      </c>
      <c r="D12" s="2"/>
      <c r="E12" s="8">
        <f t="shared" si="1"/>
        <v>0</v>
      </c>
      <c r="F12" s="2"/>
      <c r="G12" s="8">
        <f t="shared" si="2"/>
        <v>0</v>
      </c>
      <c r="H12" s="2">
        <v>0</v>
      </c>
      <c r="I12" s="8">
        <f t="shared" si="3"/>
        <v>0</v>
      </c>
      <c r="J12" s="2">
        <v>0</v>
      </c>
      <c r="K12" s="8">
        <f t="shared" si="4"/>
        <v>0</v>
      </c>
      <c r="L12" s="2">
        <v>0</v>
      </c>
      <c r="M12" s="8">
        <f t="shared" si="5"/>
        <v>0</v>
      </c>
      <c r="N12" s="2">
        <v>67362.759999999995</v>
      </c>
      <c r="O12" s="8">
        <f t="shared" si="6"/>
        <v>0.98393287095057225</v>
      </c>
      <c r="P12" s="2"/>
      <c r="Q12" s="8" t="e">
        <f t="shared" si="6"/>
        <v>#DIV/0!</v>
      </c>
    </row>
    <row r="13" spans="1:17" x14ac:dyDescent="0.25">
      <c r="A13" s="1" t="s">
        <v>106</v>
      </c>
      <c r="B13" s="2">
        <f t="shared" si="0"/>
        <v>5000</v>
      </c>
      <c r="C13" s="8">
        <f t="shared" si="1"/>
        <v>1.500245485168738E-2</v>
      </c>
      <c r="D13" s="2">
        <v>1000</v>
      </c>
      <c r="E13" s="8">
        <f t="shared" ref="E13" si="7">D13/D$4</f>
        <v>7.4700624176005422E-3</v>
      </c>
      <c r="F13" s="2">
        <v>1000</v>
      </c>
      <c r="G13" s="8">
        <f t="shared" ref="G13" si="8">F13/F$4</f>
        <v>1.4011302918064003E-2</v>
      </c>
      <c r="H13" s="2">
        <v>1000</v>
      </c>
      <c r="I13" s="8">
        <f t="shared" ref="I13" si="9">H13/H$4</f>
        <v>0.15268107976059606</v>
      </c>
      <c r="J13" s="2">
        <v>1000</v>
      </c>
      <c r="K13" s="8">
        <f t="shared" ref="K13" si="10">J13/J$4</f>
        <v>8.4357005596243748E-2</v>
      </c>
      <c r="L13" s="2">
        <v>1000</v>
      </c>
      <c r="M13" s="8">
        <f t="shared" ref="M13" si="11">L13/L$4</f>
        <v>2.7644615202160921E-2</v>
      </c>
      <c r="N13" s="2"/>
      <c r="O13" s="8">
        <f t="shared" ref="O13" si="12">N13/N$4</f>
        <v>0</v>
      </c>
      <c r="P13" s="2"/>
      <c r="Q13" s="8" t="e">
        <f t="shared" ref="Q13" si="13">P13/P$4</f>
        <v>#DIV/0!</v>
      </c>
    </row>
    <row r="14" spans="1:17" s="21" customFormat="1" x14ac:dyDescent="0.25">
      <c r="A14" s="18" t="s">
        <v>34</v>
      </c>
      <c r="B14" s="19">
        <f>D14+F14+H14+J14+L14</f>
        <v>264816.03000000003</v>
      </c>
      <c r="C14" s="20">
        <f>B14/B$4</f>
        <v>0.79457810681561825</v>
      </c>
      <c r="D14" s="19">
        <f>SUM(D5:D13)</f>
        <v>134867.69</v>
      </c>
      <c r="E14" s="20">
        <f>D14/B14</f>
        <v>0.50928824059480082</v>
      </c>
      <c r="F14" s="19">
        <f>SUM(F5:F13)</f>
        <v>72370.95</v>
      </c>
      <c r="G14" s="20">
        <f>F14/B14</f>
        <v>0.27328764803248501</v>
      </c>
      <c r="H14" s="19">
        <f>SUM(H5:H13)</f>
        <v>7549.6</v>
      </c>
      <c r="I14" s="20">
        <f>H14/B14</f>
        <v>2.8508848199257423E-2</v>
      </c>
      <c r="J14" s="19">
        <f>SUM(J5:J13)</f>
        <v>12854.380000000001</v>
      </c>
      <c r="K14" s="20">
        <f>J14/B14</f>
        <v>4.8540792640083E-2</v>
      </c>
      <c r="L14" s="19">
        <f>SUM(L5:L13)</f>
        <v>37173.410000000003</v>
      </c>
      <c r="M14" s="20">
        <f>L14/B14</f>
        <v>0.14037447053337368</v>
      </c>
      <c r="N14" s="19">
        <f>SUM(N5:N13)</f>
        <v>68462.759999999995</v>
      </c>
      <c r="O14" s="20">
        <f>N14/B14</f>
        <v>0.25852951575476751</v>
      </c>
      <c r="P14" s="19">
        <f>SUM(P15:P21)</f>
        <v>0</v>
      </c>
      <c r="Q14" s="20">
        <f>P14/D14</f>
        <v>0</v>
      </c>
    </row>
    <row r="15" spans="1:17" x14ac:dyDescent="0.25">
      <c r="A15" s="5" t="s">
        <v>66</v>
      </c>
      <c r="B15" s="5" t="s">
        <v>67</v>
      </c>
      <c r="C15" s="16" t="s">
        <v>64</v>
      </c>
      <c r="D15" s="5" t="s">
        <v>58</v>
      </c>
      <c r="E15" s="16" t="s">
        <v>64</v>
      </c>
      <c r="F15" s="5" t="s">
        <v>59</v>
      </c>
      <c r="G15" s="16" t="s">
        <v>64</v>
      </c>
      <c r="H15" s="5" t="s">
        <v>60</v>
      </c>
      <c r="I15" s="16" t="s">
        <v>64</v>
      </c>
      <c r="J15" s="5" t="s">
        <v>61</v>
      </c>
      <c r="K15" s="16" t="s">
        <v>64</v>
      </c>
      <c r="L15" s="5" t="s">
        <v>65</v>
      </c>
      <c r="M15" s="16" t="s">
        <v>64</v>
      </c>
      <c r="N15" s="5" t="s">
        <v>38</v>
      </c>
      <c r="O15" s="16" t="s">
        <v>64</v>
      </c>
      <c r="P15" s="5" t="s">
        <v>2</v>
      </c>
      <c r="Q15" s="16" t="s">
        <v>64</v>
      </c>
    </row>
    <row r="16" spans="1:17" x14ac:dyDescent="0.25">
      <c r="A16" s="13" t="s">
        <v>71</v>
      </c>
      <c r="B16" s="12">
        <v>13727.08</v>
      </c>
      <c r="C16" s="14">
        <f t="shared" ref="C16:C21" si="14">B16/B$4</f>
        <v>4.1187979589100157E-2</v>
      </c>
      <c r="D16" s="12">
        <f>B16*E14</f>
        <v>6991.0404217040787</v>
      </c>
      <c r="E16" s="14">
        <f t="shared" ref="E16:E23" si="15">D16/D$4</f>
        <v>5.2223508314097888E-2</v>
      </c>
      <c r="F16" s="12">
        <f>B16*G14</f>
        <v>3751.4414075537643</v>
      </c>
      <c r="G16" s="14">
        <f t="shared" ref="G16:G23" si="16">F16/F$4</f>
        <v>5.2562581940604189E-2</v>
      </c>
      <c r="H16" s="12">
        <f>B16*I14</f>
        <v>391.34323993906258</v>
      </c>
      <c r="I16" s="14">
        <f t="shared" ref="I16:I23" si="17">H16/H$4</f>
        <v>5.9750708430906095E-2</v>
      </c>
      <c r="J16" s="12">
        <f>B16*K14</f>
        <v>666.32334383383056</v>
      </c>
      <c r="K16" s="14">
        <f t="shared" ref="K16:K23" si="18">J16/J$4</f>
        <v>5.6209042044698287E-2</v>
      </c>
      <c r="L16" s="12">
        <f>B16*M14</f>
        <v>1926.9315869692632</v>
      </c>
      <c r="M16" s="14">
        <f t="shared" ref="M16:M23" si="19">L16/L$4</f>
        <v>5.3269282242654564E-2</v>
      </c>
      <c r="N16" s="12">
        <v>0</v>
      </c>
      <c r="O16" s="14">
        <f t="shared" ref="O16:Q23" si="20">N16/N$4</f>
        <v>0</v>
      </c>
      <c r="P16" s="12"/>
      <c r="Q16" s="14" t="e">
        <f>P16/P$4</f>
        <v>#DIV/0!</v>
      </c>
    </row>
    <row r="17" spans="1:17" x14ac:dyDescent="0.25">
      <c r="A17" s="13" t="s">
        <v>3</v>
      </c>
      <c r="B17" s="12">
        <v>112853.24</v>
      </c>
      <c r="C17" s="14">
        <f t="shared" si="14"/>
        <v>0.33861512759332807</v>
      </c>
      <c r="D17" s="12">
        <f>B17-F18-H18-J18-L18</f>
        <v>57893.170000000013</v>
      </c>
      <c r="E17" s="14">
        <f t="shared" si="15"/>
        <v>0.43246559345275931</v>
      </c>
      <c r="F17" s="40"/>
      <c r="G17" s="41">
        <f t="shared" si="16"/>
        <v>0</v>
      </c>
      <c r="H17" s="40"/>
      <c r="I17" s="41">
        <f t="shared" si="17"/>
        <v>0</v>
      </c>
      <c r="J17" s="40"/>
      <c r="K17" s="41">
        <f t="shared" si="18"/>
        <v>0</v>
      </c>
      <c r="L17" s="40"/>
      <c r="M17" s="41">
        <f t="shared" si="19"/>
        <v>0</v>
      </c>
      <c r="N17" s="40">
        <v>0</v>
      </c>
      <c r="O17" s="41">
        <f t="shared" si="20"/>
        <v>0</v>
      </c>
      <c r="P17" s="39"/>
      <c r="Q17" s="41" t="e">
        <f t="shared" si="20"/>
        <v>#DIV/0!</v>
      </c>
    </row>
    <row r="18" spans="1:17" x14ac:dyDescent="0.25">
      <c r="A18" s="1" t="s">
        <v>45</v>
      </c>
      <c r="B18" s="2"/>
      <c r="C18" s="8">
        <f t="shared" si="14"/>
        <v>0</v>
      </c>
      <c r="D18" s="2"/>
      <c r="E18" s="8">
        <f t="shared" si="15"/>
        <v>0</v>
      </c>
      <c r="F18" s="2">
        <v>27705.59</v>
      </c>
      <c r="G18" s="8">
        <f t="shared" si="16"/>
        <v>0.38819141401368484</v>
      </c>
      <c r="H18" s="2">
        <v>2029.55</v>
      </c>
      <c r="I18" s="8">
        <f t="shared" si="17"/>
        <v>0.30987388542811772</v>
      </c>
      <c r="J18" s="2">
        <v>4682.17</v>
      </c>
      <c r="K18" s="8">
        <f t="shared" si="18"/>
        <v>0.3949738408925646</v>
      </c>
      <c r="L18" s="2">
        <v>20542.759999999998</v>
      </c>
      <c r="M18" s="8">
        <f t="shared" si="19"/>
        <v>0.56789669539034326</v>
      </c>
      <c r="N18" s="2">
        <v>0</v>
      </c>
      <c r="O18" s="8">
        <f t="shared" si="20"/>
        <v>0</v>
      </c>
      <c r="P18" s="2"/>
      <c r="Q18" s="8" t="e">
        <f t="shared" si="20"/>
        <v>#DIV/0!</v>
      </c>
    </row>
    <row r="19" spans="1:17" x14ac:dyDescent="0.25">
      <c r="A19" s="1" t="s">
        <v>22</v>
      </c>
      <c r="B19" s="2">
        <f>D19+F19+H19+J19+L19+N19</f>
        <v>786.92000000000007</v>
      </c>
      <c r="C19" s="8">
        <f t="shared" si="14"/>
        <v>2.3611463543779668E-3</v>
      </c>
      <c r="D19" s="2">
        <v>164.53</v>
      </c>
      <c r="E19" s="8">
        <f t="shared" si="15"/>
        <v>1.2290493695678174E-3</v>
      </c>
      <c r="F19" s="2">
        <v>368.55</v>
      </c>
      <c r="G19" s="8">
        <f t="shared" si="16"/>
        <v>5.1638656904524887E-3</v>
      </c>
      <c r="H19" s="2">
        <v>128.6</v>
      </c>
      <c r="I19" s="8">
        <f t="shared" si="17"/>
        <v>1.9634786857212653E-2</v>
      </c>
      <c r="J19" s="2">
        <v>71.7</v>
      </c>
      <c r="K19" s="8">
        <f t="shared" si="18"/>
        <v>6.0483973012506768E-3</v>
      </c>
      <c r="L19" s="2">
        <v>53.54</v>
      </c>
      <c r="M19" s="8">
        <f t="shared" si="19"/>
        <v>1.4800926979236957E-3</v>
      </c>
      <c r="N19" s="2">
        <v>0</v>
      </c>
      <c r="O19" s="8"/>
      <c r="P19" s="2"/>
      <c r="Q19" s="8"/>
    </row>
    <row r="20" spans="1:17" ht="15.75" thickBot="1" x14ac:dyDescent="0.3">
      <c r="A20" s="1" t="s">
        <v>73</v>
      </c>
      <c r="B20" s="2">
        <f>D20+F20+H20+J20+L20+N20</f>
        <v>5674.91</v>
      </c>
      <c r="C20" s="8">
        <f t="shared" si="14"/>
        <v>1.7027516212477844E-2</v>
      </c>
      <c r="D20" s="2">
        <v>1192.96</v>
      </c>
      <c r="E20" s="8">
        <f t="shared" si="15"/>
        <v>8.911485661700743E-3</v>
      </c>
      <c r="F20" s="2">
        <v>2789.26</v>
      </c>
      <c r="G20" s="8">
        <f t="shared" si="16"/>
        <v>3.9081166777239204E-2</v>
      </c>
      <c r="H20" s="2">
        <v>46.06</v>
      </c>
      <c r="I20" s="8">
        <f t="shared" si="17"/>
        <v>7.032490533773055E-3</v>
      </c>
      <c r="J20" s="2">
        <v>51.09</v>
      </c>
      <c r="K20" s="8">
        <f t="shared" si="18"/>
        <v>4.3097994159120934E-3</v>
      </c>
      <c r="L20" s="38">
        <v>1595.54</v>
      </c>
      <c r="M20" s="8">
        <f t="shared" si="19"/>
        <v>4.4108089339655834E-2</v>
      </c>
      <c r="N20" s="2">
        <v>0</v>
      </c>
      <c r="O20" s="8">
        <f t="shared" si="20"/>
        <v>0</v>
      </c>
      <c r="P20" s="2"/>
      <c r="Q20" s="8" t="e">
        <f t="shared" si="20"/>
        <v>#DIV/0!</v>
      </c>
    </row>
    <row r="21" spans="1:17" s="17" customFormat="1" ht="15.75" thickBot="1" x14ac:dyDescent="0.3">
      <c r="A21" s="26" t="s">
        <v>67</v>
      </c>
      <c r="B21" s="27">
        <f>SUM(B16:B20)</f>
        <v>133042.15</v>
      </c>
      <c r="C21" s="24">
        <f t="shared" si="14"/>
        <v>0.399191769749284</v>
      </c>
      <c r="D21" s="27">
        <f>SUM(D16:D20)</f>
        <v>66241.700421704096</v>
      </c>
      <c r="E21" s="24">
        <f t="shared" si="15"/>
        <v>0.4948296367981258</v>
      </c>
      <c r="F21" s="27">
        <f>SUM(F16:F20)</f>
        <v>34614.841407553766</v>
      </c>
      <c r="G21" s="24">
        <f t="shared" si="16"/>
        <v>0.48499902842198073</v>
      </c>
      <c r="H21" s="27">
        <f>SUM(H16:H20)</f>
        <v>2595.5532399390622</v>
      </c>
      <c r="I21" s="24">
        <f t="shared" si="17"/>
        <v>0.39629187125000948</v>
      </c>
      <c r="J21" s="27">
        <f>SUM(J16:J20)</f>
        <v>5471.2833438338303</v>
      </c>
      <c r="K21" s="24">
        <f t="shared" si="18"/>
        <v>0.46154107965442559</v>
      </c>
      <c r="L21" s="27">
        <f>SUM(L16:L20)</f>
        <v>24118.771586969262</v>
      </c>
      <c r="M21" s="24">
        <f t="shared" si="19"/>
        <v>0.66675415967057738</v>
      </c>
      <c r="N21" s="27">
        <f>SUM(N16:N20)</f>
        <v>0</v>
      </c>
      <c r="O21" s="24">
        <f t="shared" si="20"/>
        <v>0</v>
      </c>
      <c r="P21" s="27">
        <f>SUM(P16:P20)</f>
        <v>0</v>
      </c>
      <c r="Q21" s="25" t="e">
        <f t="shared" si="20"/>
        <v>#DIV/0!</v>
      </c>
    </row>
    <row r="22" spans="1:17" s="17" customFormat="1" ht="15.75" thickBot="1" x14ac:dyDescent="0.3">
      <c r="A22" s="15"/>
      <c r="B22" s="22"/>
      <c r="C22" s="23"/>
      <c r="D22" s="22"/>
      <c r="E22" s="23"/>
      <c r="F22" s="22"/>
      <c r="G22" s="23"/>
      <c r="H22" s="22"/>
      <c r="I22" s="23"/>
      <c r="J22" s="22"/>
      <c r="K22" s="23"/>
      <c r="L22" s="22"/>
      <c r="M22" s="23"/>
      <c r="N22" s="22"/>
      <c r="O22" s="23"/>
      <c r="P22" s="22"/>
      <c r="Q22" s="23"/>
    </row>
    <row r="23" spans="1:17" s="17" customFormat="1" ht="15.75" thickBot="1" x14ac:dyDescent="0.3">
      <c r="A23" s="28" t="s">
        <v>75</v>
      </c>
      <c r="B23" s="29">
        <f>B4-B21</f>
        <v>200236.64000000004</v>
      </c>
      <c r="C23" s="10">
        <f>B23/B$4</f>
        <v>0.60080823025071595</v>
      </c>
      <c r="D23" s="29">
        <f>D4-D21</f>
        <v>67625.989578295907</v>
      </c>
      <c r="E23" s="10">
        <f t="shared" si="15"/>
        <v>0.50517036320187425</v>
      </c>
      <c r="F23" s="29">
        <f>F4-F21</f>
        <v>36756.108592446231</v>
      </c>
      <c r="G23" s="10">
        <f t="shared" si="16"/>
        <v>0.51500097157801927</v>
      </c>
      <c r="H23" s="29">
        <f>H4-H21</f>
        <v>3954.0467600609381</v>
      </c>
      <c r="I23" s="10">
        <f t="shared" si="17"/>
        <v>0.60370812874999047</v>
      </c>
      <c r="J23" s="29">
        <f>J4-J21</f>
        <v>6383.0966561661708</v>
      </c>
      <c r="K23" s="10">
        <f t="shared" si="18"/>
        <v>0.53845892034557441</v>
      </c>
      <c r="L23" s="29">
        <f>L4-L21</f>
        <v>12054.638413030742</v>
      </c>
      <c r="M23" s="10">
        <f t="shared" si="19"/>
        <v>0.33324584032942262</v>
      </c>
      <c r="N23" s="29">
        <f>N4-N21</f>
        <v>68462.759999999995</v>
      </c>
      <c r="O23" s="10">
        <f t="shared" si="20"/>
        <v>1</v>
      </c>
      <c r="P23" s="29">
        <f>P4-P21</f>
        <v>0</v>
      </c>
      <c r="Q23" s="11" t="e">
        <f t="shared" si="20"/>
        <v>#DIV/0!</v>
      </c>
    </row>
    <row r="24" spans="1:17" s="17" customFormat="1" ht="15.75" thickBot="1" x14ac:dyDescent="0.3">
      <c r="A24" s="30" t="s">
        <v>68</v>
      </c>
      <c r="B24" s="31">
        <f>SUM(B46:B87)</f>
        <v>145655.18000000002</v>
      </c>
      <c r="C24" s="32">
        <f>B24/B$4</f>
        <v>0.43703705237287982</v>
      </c>
      <c r="D24" s="31">
        <f>SUM(D46:D87)</f>
        <v>37525.252429506218</v>
      </c>
      <c r="E24" s="32">
        <f>D24/D$4</f>
        <v>0.28031597788462786</v>
      </c>
      <c r="F24" s="31">
        <f>SUM(F46:F87)</f>
        <v>30471.975213864989</v>
      </c>
      <c r="G24" s="32">
        <f>F24/F$4</f>
        <v>0.4269520752332005</v>
      </c>
      <c r="H24" s="31">
        <f>SUM(H46:H87)</f>
        <v>10632.451591765577</v>
      </c>
      <c r="I24" s="32">
        <f>H24/H$4</f>
        <v>1.6233741895330367</v>
      </c>
      <c r="J24" s="31">
        <f>SUM(J46:J87)</f>
        <v>16370.287598171501</v>
      </c>
      <c r="K24" s="32">
        <f>J24/J$4</f>
        <v>1.3809484425310727</v>
      </c>
      <c r="L24" s="31">
        <f>SUM(L46:L87)</f>
        <v>13155.493046289204</v>
      </c>
      <c r="M24" s="32">
        <f>L24/L$4</f>
        <v>0.36367854305936881</v>
      </c>
      <c r="N24" s="31">
        <f>SUM(N46:N87)</f>
        <v>37658.754063456596</v>
      </c>
      <c r="O24" s="32">
        <f>N24/N$4</f>
        <v>0.5500618739801989</v>
      </c>
      <c r="P24" s="31">
        <f>SUM(P46:P87)</f>
        <v>0</v>
      </c>
      <c r="Q24" s="33" t="e">
        <f>P24/P$4</f>
        <v>#DIV/0!</v>
      </c>
    </row>
    <row r="25" spans="1:17" s="37" customFormat="1" x14ac:dyDescent="0.25">
      <c r="A25" s="72" t="s">
        <v>72</v>
      </c>
      <c r="B25" s="73">
        <f t="shared" ref="B25:Q25" si="21">B23-B24</f>
        <v>54581.460000000021</v>
      </c>
      <c r="C25" s="74">
        <f t="shared" si="21"/>
        <v>0.16377117787783613</v>
      </c>
      <c r="D25" s="73">
        <f t="shared" si="21"/>
        <v>30100.737148789689</v>
      </c>
      <c r="E25" s="74">
        <f t="shared" si="21"/>
        <v>0.22485438531724639</v>
      </c>
      <c r="F25" s="73">
        <f t="shared" si="21"/>
        <v>6284.1333785812421</v>
      </c>
      <c r="G25" s="74">
        <f t="shared" si="21"/>
        <v>8.8048896344818772E-2</v>
      </c>
      <c r="H25" s="73">
        <f t="shared" si="21"/>
        <v>-6678.404831704639</v>
      </c>
      <c r="I25" s="74">
        <f t="shared" si="21"/>
        <v>-1.0196660607830461</v>
      </c>
      <c r="J25" s="73">
        <f t="shared" si="21"/>
        <v>-9987.1909420053307</v>
      </c>
      <c r="K25" s="74">
        <f t="shared" si="21"/>
        <v>-0.84248952218549833</v>
      </c>
      <c r="L25" s="73">
        <f t="shared" si="21"/>
        <v>-1100.8546332584629</v>
      </c>
      <c r="M25" s="74">
        <f t="shared" si="21"/>
        <v>-3.0432702729946193E-2</v>
      </c>
      <c r="N25" s="73">
        <f t="shared" si="21"/>
        <v>30804.005936543399</v>
      </c>
      <c r="O25" s="74">
        <f t="shared" si="21"/>
        <v>0.4499381260198011</v>
      </c>
      <c r="P25" s="73">
        <f t="shared" si="21"/>
        <v>0</v>
      </c>
      <c r="Q25" s="75" t="e">
        <f t="shared" si="21"/>
        <v>#DIV/0!</v>
      </c>
    </row>
    <row r="26" spans="1:17" s="34" customFormat="1" x14ac:dyDescent="0.25">
      <c r="B26" s="35"/>
      <c r="C26" s="36"/>
      <c r="D26" s="35"/>
      <c r="E26" s="36"/>
      <c r="F26" s="35"/>
      <c r="G26" s="36"/>
      <c r="H26" s="35"/>
      <c r="I26" s="36"/>
      <c r="J26" s="35"/>
      <c r="K26" s="36"/>
      <c r="L26" s="35"/>
      <c r="M26" s="36"/>
      <c r="N26" s="35"/>
      <c r="O26" s="36"/>
      <c r="P26" s="35"/>
      <c r="Q26" s="36"/>
    </row>
    <row r="27" spans="1:17" s="37" customFormat="1" x14ac:dyDescent="0.25">
      <c r="A27" s="44" t="s">
        <v>80</v>
      </c>
      <c r="B27" s="45">
        <f>D27+F27+H27+J27+L27</f>
        <v>139244.37</v>
      </c>
      <c r="C27" s="46"/>
      <c r="D27" s="45">
        <v>106608.56</v>
      </c>
      <c r="E27" s="46"/>
      <c r="F27" s="45">
        <v>16832.12</v>
      </c>
      <c r="G27" s="46"/>
      <c r="H27" s="45">
        <v>8151.01</v>
      </c>
      <c r="I27" s="46"/>
      <c r="J27" s="45">
        <v>5207.97</v>
      </c>
      <c r="K27" s="46"/>
      <c r="L27" s="77">
        <v>2444.71</v>
      </c>
      <c r="M27" s="71"/>
      <c r="N27" s="35"/>
      <c r="O27" s="36"/>
      <c r="P27" s="35"/>
      <c r="Q27" s="36"/>
    </row>
    <row r="28" spans="1:17" s="37" customFormat="1" x14ac:dyDescent="0.25">
      <c r="A28" s="44" t="s">
        <v>79</v>
      </c>
      <c r="B28" s="45">
        <f>D28+F28+H28+J28+L28</f>
        <v>70186.070000000007</v>
      </c>
      <c r="C28" s="46"/>
      <c r="D28" s="45">
        <v>51489.18</v>
      </c>
      <c r="E28" s="46"/>
      <c r="F28" s="45">
        <v>11088.72</v>
      </c>
      <c r="G28" s="46"/>
      <c r="H28" s="45">
        <v>2228.39</v>
      </c>
      <c r="I28" s="46"/>
      <c r="J28" s="45">
        <v>3414.93</v>
      </c>
      <c r="K28" s="46"/>
      <c r="L28" s="77">
        <v>1964.85</v>
      </c>
      <c r="M28" s="71"/>
      <c r="N28" s="35"/>
      <c r="O28" s="36"/>
      <c r="P28" s="35"/>
      <c r="Q28" s="36"/>
    </row>
    <row r="29" spans="1:17" s="17" customFormat="1" x14ac:dyDescent="0.25">
      <c r="A29" s="44" t="s">
        <v>78</v>
      </c>
      <c r="B29" s="47">
        <f>D29+F29+H29+J29+L29</f>
        <v>0</v>
      </c>
      <c r="C29" s="46"/>
      <c r="D29" s="47"/>
      <c r="E29" s="47"/>
      <c r="F29" s="47"/>
      <c r="G29" s="47"/>
      <c r="H29" s="47"/>
      <c r="I29" s="47"/>
      <c r="J29" s="47"/>
      <c r="K29" s="47"/>
      <c r="L29" s="76"/>
      <c r="M29" s="78"/>
      <c r="N29" s="48"/>
      <c r="O29" s="48"/>
      <c r="P29" s="48"/>
      <c r="Q29" s="48"/>
    </row>
    <row r="30" spans="1:17" s="17" customFormat="1" x14ac:dyDescent="0.25">
      <c r="A30" s="34"/>
      <c r="B30" s="48"/>
      <c r="C30" s="36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1:17" s="17" customFormat="1" x14ac:dyDescent="0.25">
      <c r="A31" s="5" t="s">
        <v>86</v>
      </c>
      <c r="B31" s="58" t="s">
        <v>87</v>
      </c>
      <c r="C31" s="59" t="s">
        <v>89</v>
      </c>
      <c r="D31" s="60" t="s">
        <v>88</v>
      </c>
      <c r="E31" s="60" t="s">
        <v>90</v>
      </c>
      <c r="F31" s="60" t="s">
        <v>92</v>
      </c>
      <c r="G31" s="47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pans="1:17" s="17" customFormat="1" x14ac:dyDescent="0.25">
      <c r="A32" s="44" t="s">
        <v>83</v>
      </c>
      <c r="B32" s="55">
        <v>74206.929999999993</v>
      </c>
      <c r="C32" s="55">
        <v>2794.29</v>
      </c>
      <c r="D32" s="55">
        <v>390.56</v>
      </c>
      <c r="E32" s="55">
        <v>385.2</v>
      </c>
      <c r="F32" s="55">
        <v>525</v>
      </c>
      <c r="G32" s="53" t="s">
        <v>98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spans="1:17" s="17" customFormat="1" x14ac:dyDescent="0.25">
      <c r="A33" s="44" t="s">
        <v>84</v>
      </c>
      <c r="B33" s="55">
        <v>55351.14</v>
      </c>
      <c r="C33" s="55">
        <v>2266.3000000000002</v>
      </c>
      <c r="D33" s="55">
        <v>324.56</v>
      </c>
      <c r="E33" s="55">
        <v>649.91999999999996</v>
      </c>
      <c r="F33" s="55">
        <v>500</v>
      </c>
      <c r="G33" s="53" t="s">
        <v>99</v>
      </c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 spans="1:17" s="17" customFormat="1" x14ac:dyDescent="0.25">
      <c r="A34" s="44" t="s">
        <v>85</v>
      </c>
      <c r="B34" s="55">
        <v>86305.38</v>
      </c>
      <c r="C34" s="55">
        <v>2732.54</v>
      </c>
      <c r="D34" s="55">
        <v>363.39</v>
      </c>
      <c r="E34" s="55">
        <v>395.75</v>
      </c>
      <c r="F34" s="55">
        <v>475</v>
      </c>
      <c r="G34" s="53" t="s">
        <v>100</v>
      </c>
      <c r="H34" s="35"/>
      <c r="I34" s="36"/>
      <c r="J34" s="35"/>
      <c r="K34" s="36"/>
      <c r="L34" s="35"/>
      <c r="M34" s="36"/>
      <c r="N34" s="35"/>
      <c r="O34" s="36"/>
      <c r="P34" s="35"/>
      <c r="Q34" s="36"/>
    </row>
    <row r="35" spans="1:17" s="17" customFormat="1" x14ac:dyDescent="0.25">
      <c r="A35" s="44" t="s">
        <v>93</v>
      </c>
      <c r="B35" s="55"/>
      <c r="C35" s="55"/>
      <c r="D35" s="55"/>
      <c r="E35" s="55">
        <v>199.83</v>
      </c>
      <c r="F35" s="53"/>
      <c r="G35" s="53"/>
      <c r="H35" s="35"/>
      <c r="I35" s="36"/>
      <c r="J35" s="35"/>
      <c r="K35" s="36"/>
      <c r="L35" s="35"/>
      <c r="M35" s="36"/>
      <c r="N35" s="35"/>
      <c r="O35" s="36"/>
      <c r="P35" s="35"/>
      <c r="Q35" s="36"/>
    </row>
    <row r="36" spans="1:17" s="17" customFormat="1" x14ac:dyDescent="0.25">
      <c r="A36" s="44" t="s">
        <v>96</v>
      </c>
      <c r="B36" s="82">
        <f>SUM(B32:B35)</f>
        <v>215863.45</v>
      </c>
      <c r="C36" s="79">
        <f>SUM(C32:C35)</f>
        <v>7793.13</v>
      </c>
      <c r="D36" s="79">
        <f>SUM(D32:D35)</f>
        <v>1078.51</v>
      </c>
      <c r="E36" s="79">
        <f>SUM(E32:E35)</f>
        <v>1630.6999999999998</v>
      </c>
      <c r="F36" s="80">
        <f>SUM(F32:F35)</f>
        <v>1500</v>
      </c>
      <c r="G36" s="53"/>
      <c r="H36" s="35"/>
      <c r="I36" s="36"/>
      <c r="J36" s="35"/>
      <c r="K36" s="36"/>
      <c r="L36" s="35"/>
      <c r="M36" s="36"/>
      <c r="N36" s="35"/>
      <c r="O36" s="36"/>
      <c r="P36" s="35"/>
      <c r="Q36" s="36"/>
    </row>
    <row r="37" spans="1:17" s="17" customFormat="1" x14ac:dyDescent="0.25">
      <c r="A37" s="34"/>
      <c r="B37" s="65"/>
      <c r="C37" s="65"/>
      <c r="D37" s="65"/>
      <c r="E37" s="65"/>
      <c r="F37" s="54"/>
      <c r="G37" s="54"/>
      <c r="H37" s="35"/>
      <c r="I37" s="36"/>
      <c r="J37" s="35"/>
      <c r="K37" s="36"/>
      <c r="L37" s="35"/>
      <c r="M37" s="36"/>
      <c r="N37" s="35"/>
      <c r="O37" s="36"/>
      <c r="P37" s="35"/>
      <c r="Q37" s="36"/>
    </row>
    <row r="38" spans="1:17" s="17" customFormat="1" x14ac:dyDescent="0.25">
      <c r="A38" s="61" t="s">
        <v>91</v>
      </c>
      <c r="B38" s="62"/>
      <c r="C38" s="62"/>
      <c r="D38" s="62"/>
      <c r="E38" s="62"/>
      <c r="F38" s="54"/>
      <c r="G38" s="54"/>
      <c r="H38" s="35"/>
      <c r="I38" s="36"/>
      <c r="J38" s="35"/>
      <c r="K38" s="36"/>
      <c r="L38" s="35"/>
      <c r="M38" s="36"/>
      <c r="N38" s="35"/>
      <c r="O38" s="36"/>
      <c r="P38" s="35"/>
      <c r="Q38" s="36"/>
    </row>
    <row r="39" spans="1:17" s="17" customFormat="1" x14ac:dyDescent="0.25">
      <c r="A39" s="50" t="s">
        <v>94</v>
      </c>
      <c r="B39" s="55">
        <v>3736</v>
      </c>
      <c r="C39" s="55"/>
      <c r="D39" s="55"/>
      <c r="E39" s="79">
        <v>637.41</v>
      </c>
      <c r="F39" s="54"/>
      <c r="G39" s="54"/>
      <c r="H39" s="35"/>
      <c r="I39" s="36"/>
      <c r="J39" s="35"/>
      <c r="K39" s="36"/>
      <c r="L39" s="35"/>
      <c r="M39" s="36"/>
      <c r="N39" s="35"/>
      <c r="O39" s="36"/>
      <c r="P39" s="35"/>
      <c r="Q39" s="36"/>
    </row>
    <row r="40" spans="1:17" s="17" customFormat="1" x14ac:dyDescent="0.25">
      <c r="A40" s="50" t="s">
        <v>95</v>
      </c>
      <c r="B40" s="56">
        <v>16487.599999999999</v>
      </c>
      <c r="C40" s="57"/>
      <c r="D40" s="56"/>
      <c r="E40" s="79">
        <v>1199.48</v>
      </c>
      <c r="F40" s="35"/>
      <c r="G40" s="36"/>
      <c r="H40" s="35"/>
      <c r="I40" s="36"/>
      <c r="J40" s="35"/>
      <c r="K40" s="36"/>
      <c r="L40" s="35"/>
      <c r="M40" s="36"/>
      <c r="N40" s="35"/>
      <c r="O40" s="36"/>
      <c r="P40" s="35"/>
      <c r="Q40" s="36"/>
    </row>
    <row r="41" spans="1:17" s="17" customFormat="1" x14ac:dyDescent="0.25">
      <c r="A41" s="44" t="s">
        <v>34</v>
      </c>
      <c r="B41" s="83">
        <f>SUM(B39:B40)</f>
        <v>20223.599999999999</v>
      </c>
      <c r="C41" s="57"/>
      <c r="D41" s="56"/>
      <c r="E41" s="79">
        <f>SUM(E39:E40)</f>
        <v>1836.8899999999999</v>
      </c>
      <c r="F41" s="35"/>
      <c r="G41" s="36"/>
      <c r="H41" s="35"/>
      <c r="I41" s="36"/>
      <c r="J41" s="35"/>
      <c r="K41" s="36"/>
      <c r="L41" s="35"/>
      <c r="M41" s="36"/>
      <c r="N41" s="35"/>
      <c r="O41" s="36"/>
      <c r="P41" s="35"/>
      <c r="Q41" s="36"/>
    </row>
    <row r="42" spans="1:17" s="17" customFormat="1" x14ac:dyDescent="0.25">
      <c r="A42" s="49"/>
      <c r="B42" s="64"/>
      <c r="C42" s="63"/>
      <c r="D42" s="64"/>
      <c r="E42" s="65"/>
      <c r="F42" s="35"/>
      <c r="G42" s="36"/>
      <c r="H42" s="35"/>
      <c r="I42" s="36"/>
      <c r="J42" s="35"/>
      <c r="K42" s="36"/>
      <c r="L42" s="35"/>
      <c r="M42" s="36"/>
      <c r="N42" s="35"/>
      <c r="O42" s="36"/>
      <c r="P42" s="35"/>
      <c r="Q42" s="36"/>
    </row>
    <row r="43" spans="1:17" s="17" customFormat="1" x14ac:dyDescent="0.25">
      <c r="A43" s="66" t="s">
        <v>97</v>
      </c>
      <c r="B43" s="81">
        <f>C36+D36+E36+F36+E41</f>
        <v>13839.23</v>
      </c>
      <c r="C43" s="68"/>
      <c r="D43" s="67"/>
      <c r="E43" s="69"/>
      <c r="F43" s="35"/>
      <c r="G43" s="36"/>
      <c r="H43" s="35"/>
      <c r="I43" s="36"/>
      <c r="J43" s="35"/>
      <c r="K43" s="36"/>
      <c r="L43" s="35"/>
      <c r="M43" s="36"/>
      <c r="N43" s="35"/>
      <c r="O43" s="36"/>
      <c r="P43" s="35"/>
      <c r="Q43" s="36"/>
    </row>
    <row r="44" spans="1:17" s="17" customFormat="1" x14ac:dyDescent="0.25">
      <c r="A44" s="50"/>
      <c r="B44" s="51"/>
      <c r="C44" s="36"/>
      <c r="D44" s="51"/>
      <c r="E44" s="36"/>
      <c r="F44" s="35"/>
      <c r="G44" s="36"/>
      <c r="H44" s="35"/>
      <c r="I44" s="36"/>
      <c r="J44" s="35"/>
      <c r="K44" s="36"/>
      <c r="L44" s="35"/>
      <c r="M44" s="36"/>
      <c r="N44" s="35"/>
      <c r="O44" s="36"/>
      <c r="P44" s="35"/>
      <c r="Q44" s="36"/>
    </row>
    <row r="45" spans="1:17" x14ac:dyDescent="0.25">
      <c r="A45" s="5" t="s">
        <v>0</v>
      </c>
      <c r="B45" s="52" t="s">
        <v>21</v>
      </c>
      <c r="C45" s="16" t="s">
        <v>57</v>
      </c>
      <c r="D45" s="5" t="s">
        <v>69</v>
      </c>
      <c r="E45" s="16" t="s">
        <v>57</v>
      </c>
      <c r="F45" s="5" t="s">
        <v>59</v>
      </c>
      <c r="G45" s="16" t="s">
        <v>57</v>
      </c>
      <c r="H45" s="5" t="s">
        <v>70</v>
      </c>
      <c r="I45" s="16" t="s">
        <v>57</v>
      </c>
      <c r="J45" s="5" t="s">
        <v>61</v>
      </c>
      <c r="K45" s="16" t="s">
        <v>57</v>
      </c>
      <c r="L45" s="5" t="s">
        <v>62</v>
      </c>
      <c r="M45" s="16" t="s">
        <v>57</v>
      </c>
      <c r="N45" s="5" t="s">
        <v>1</v>
      </c>
      <c r="O45" s="16" t="s">
        <v>57</v>
      </c>
      <c r="P45" s="5" t="s">
        <v>2</v>
      </c>
      <c r="Q45" s="16" t="s">
        <v>57</v>
      </c>
    </row>
    <row r="46" spans="1:17" x14ac:dyDescent="0.25">
      <c r="A46" s="13" t="s">
        <v>46</v>
      </c>
      <c r="B46" s="12"/>
      <c r="C46" s="14">
        <f t="shared" ref="C46:E61" si="22">B46/B$4</f>
        <v>0</v>
      </c>
      <c r="D46" s="12">
        <f>B46*E14</f>
        <v>0</v>
      </c>
      <c r="E46" s="14">
        <f t="shared" si="22"/>
        <v>0</v>
      </c>
      <c r="F46" s="12">
        <f>B46*G14</f>
        <v>0</v>
      </c>
      <c r="G46" s="14">
        <f t="shared" ref="G46:G87" si="23">F46/F$4</f>
        <v>0</v>
      </c>
      <c r="H46" s="12">
        <f>B46*I14</f>
        <v>0</v>
      </c>
      <c r="I46" s="14">
        <f t="shared" ref="I46:I87" si="24">H46/H$4</f>
        <v>0</v>
      </c>
      <c r="J46" s="12">
        <f>B46*K14</f>
        <v>0</v>
      </c>
      <c r="K46" s="14">
        <f t="shared" ref="K46:K87" si="25">J46/J$4</f>
        <v>0</v>
      </c>
      <c r="L46" s="12">
        <f>B46*M14</f>
        <v>0</v>
      </c>
      <c r="M46" s="14">
        <f t="shared" ref="M46:M87" si="26">L46/L$4</f>
        <v>0</v>
      </c>
      <c r="N46" s="12">
        <v>0</v>
      </c>
      <c r="O46" s="14">
        <f t="shared" ref="O46:O87" si="27">N46/N$4</f>
        <v>0</v>
      </c>
      <c r="P46" s="13"/>
      <c r="Q46" s="14" t="e">
        <f t="shared" ref="Q46:Q87" si="28">P46/P$4</f>
        <v>#DIV/0!</v>
      </c>
    </row>
    <row r="47" spans="1:17" x14ac:dyDescent="0.25">
      <c r="A47" s="13" t="s">
        <v>4</v>
      </c>
      <c r="B47" s="12">
        <v>13839.23</v>
      </c>
      <c r="C47" s="14">
        <f t="shared" si="22"/>
        <v>4.1524484651423506E-2</v>
      </c>
      <c r="D47" s="12">
        <f>B47*E4</f>
        <v>5558.7868387265198</v>
      </c>
      <c r="E47" s="14">
        <f t="shared" si="22"/>
        <v>4.1524484651423506E-2</v>
      </c>
      <c r="F47" s="12">
        <f>B47*G4</f>
        <v>2963.6419178325145</v>
      </c>
      <c r="G47" s="14">
        <f t="shared" si="23"/>
        <v>4.1524484651423506E-2</v>
      </c>
      <c r="H47" s="12">
        <f>B47*I4</f>
        <v>271.9687646729634</v>
      </c>
      <c r="I47" s="14">
        <f t="shared" si="24"/>
        <v>4.1524484651423506E-2</v>
      </c>
      <c r="J47" s="12">
        <f>B47*K4</f>
        <v>492.24702036214177</v>
      </c>
      <c r="K47" s="14">
        <f t="shared" si="25"/>
        <v>4.1524484651423499E-2</v>
      </c>
      <c r="L47" s="12">
        <f>B47*M4</f>
        <v>1502.0822083346497</v>
      </c>
      <c r="M47" s="14">
        <f t="shared" si="26"/>
        <v>4.1524484651423506E-2</v>
      </c>
      <c r="N47" s="12">
        <f>B47*O4</f>
        <v>2842.8808268140911</v>
      </c>
      <c r="O47" s="14">
        <f t="shared" si="27"/>
        <v>4.1524484651423506E-2</v>
      </c>
      <c r="P47" s="12"/>
      <c r="Q47" s="14" t="e">
        <f t="shared" si="28"/>
        <v>#DIV/0!</v>
      </c>
    </row>
    <row r="48" spans="1:17" x14ac:dyDescent="0.25">
      <c r="A48" s="13" t="s">
        <v>32</v>
      </c>
      <c r="B48" s="12">
        <v>6456.36</v>
      </c>
      <c r="C48" s="14">
        <f t="shared" si="22"/>
        <v>1.9372249881248065E-2</v>
      </c>
      <c r="D48" s="12">
        <f>B48*E14</f>
        <v>3288.1482250466479</v>
      </c>
      <c r="E48" s="14">
        <f t="shared" si="22"/>
        <v>2.4562672479420896E-2</v>
      </c>
      <c r="F48" s="12">
        <f>B48*G14</f>
        <v>1764.4434392510148</v>
      </c>
      <c r="G48" s="14">
        <f t="shared" si="23"/>
        <v>2.4722151509136626E-2</v>
      </c>
      <c r="H48" s="43">
        <f>B48*I14</f>
        <v>184.06338715975764</v>
      </c>
      <c r="I48" s="14">
        <f t="shared" si="24"/>
        <v>2.8102996695944429E-2</v>
      </c>
      <c r="J48" s="12">
        <f>B48*K14</f>
        <v>313.39683196972624</v>
      </c>
      <c r="K48" s="14">
        <f t="shared" si="25"/>
        <v>2.6437218308315257E-2</v>
      </c>
      <c r="L48" s="12">
        <f>B48*M14</f>
        <v>906.30811657285244</v>
      </c>
      <c r="M48" s="14">
        <f t="shared" si="26"/>
        <v>2.5054539137251711E-2</v>
      </c>
      <c r="N48" s="12">
        <v>0</v>
      </c>
      <c r="O48" s="14">
        <f t="shared" si="27"/>
        <v>0</v>
      </c>
      <c r="P48" s="13"/>
      <c r="Q48" s="14" t="e">
        <f t="shared" si="28"/>
        <v>#DIV/0!</v>
      </c>
    </row>
    <row r="49" spans="1:17" x14ac:dyDescent="0.25">
      <c r="A49" s="1" t="s">
        <v>5</v>
      </c>
      <c r="B49" s="2">
        <f>D49+F49+H49+J49+L49+N49+P49</f>
        <v>0</v>
      </c>
      <c r="C49" s="8">
        <f t="shared" si="22"/>
        <v>0</v>
      </c>
      <c r="D49" s="2">
        <v>0</v>
      </c>
      <c r="E49" s="8">
        <f t="shared" si="22"/>
        <v>0</v>
      </c>
      <c r="F49" s="2">
        <v>0</v>
      </c>
      <c r="G49" s="8">
        <f t="shared" si="23"/>
        <v>0</v>
      </c>
      <c r="H49" s="2">
        <v>0</v>
      </c>
      <c r="I49" s="8">
        <f t="shared" si="24"/>
        <v>0</v>
      </c>
      <c r="J49" s="2">
        <v>0</v>
      </c>
      <c r="K49" s="8">
        <f t="shared" si="25"/>
        <v>0</v>
      </c>
      <c r="L49" s="2">
        <v>0</v>
      </c>
      <c r="M49" s="8">
        <f t="shared" si="26"/>
        <v>0</v>
      </c>
      <c r="N49" s="2">
        <v>0</v>
      </c>
      <c r="O49" s="8">
        <f t="shared" si="27"/>
        <v>0</v>
      </c>
      <c r="P49" s="1"/>
      <c r="Q49" s="8" t="e">
        <f t="shared" si="28"/>
        <v>#DIV/0!</v>
      </c>
    </row>
    <row r="50" spans="1:17" x14ac:dyDescent="0.25">
      <c r="A50" s="1" t="s">
        <v>6</v>
      </c>
      <c r="B50" s="2">
        <f t="shared" ref="B50:B87" si="29">D50+F50+H50+J50+L50+N50+P50</f>
        <v>1951.9</v>
      </c>
      <c r="C50" s="8">
        <f t="shared" si="22"/>
        <v>5.8566583250017198E-3</v>
      </c>
      <c r="D50" s="2">
        <v>564.38</v>
      </c>
      <c r="E50" s="8">
        <f t="shared" si="22"/>
        <v>4.2159538272453943E-3</v>
      </c>
      <c r="F50" s="2">
        <v>232.97</v>
      </c>
      <c r="G50" s="8">
        <f t="shared" si="23"/>
        <v>3.2642132408213708E-3</v>
      </c>
      <c r="H50" s="2">
        <v>269.41000000000003</v>
      </c>
      <c r="I50" s="8">
        <f t="shared" si="24"/>
        <v>4.1133809698302187E-2</v>
      </c>
      <c r="J50" s="2">
        <v>248.76</v>
      </c>
      <c r="K50" s="8">
        <f t="shared" si="25"/>
        <v>2.0984648712121592E-2</v>
      </c>
      <c r="L50" s="2">
        <v>72</v>
      </c>
      <c r="M50" s="8">
        <f t="shared" si="26"/>
        <v>1.9904122945555865E-3</v>
      </c>
      <c r="N50" s="2">
        <v>564.38</v>
      </c>
      <c r="O50" s="8">
        <f t="shared" si="27"/>
        <v>8.2436057208327574E-3</v>
      </c>
      <c r="P50" s="1"/>
      <c r="Q50" s="8" t="e">
        <f t="shared" si="28"/>
        <v>#DIV/0!</v>
      </c>
    </row>
    <row r="51" spans="1:17" x14ac:dyDescent="0.25">
      <c r="A51" s="1" t="s">
        <v>7</v>
      </c>
      <c r="B51" s="2">
        <f t="shared" si="29"/>
        <v>395.54</v>
      </c>
      <c r="C51" s="8">
        <f t="shared" si="22"/>
        <v>1.1868141984072854E-3</v>
      </c>
      <c r="D51" s="2">
        <v>94.83</v>
      </c>
      <c r="E51" s="8">
        <f t="shared" si="22"/>
        <v>7.0838601906105946E-4</v>
      </c>
      <c r="F51" s="2">
        <v>73.81</v>
      </c>
      <c r="G51" s="8">
        <f t="shared" si="23"/>
        <v>1.0341742683823041E-3</v>
      </c>
      <c r="H51" s="2">
        <v>0</v>
      </c>
      <c r="I51" s="8">
        <f t="shared" si="24"/>
        <v>0</v>
      </c>
      <c r="J51" s="2">
        <v>65.37</v>
      </c>
      <c r="K51" s="8">
        <f t="shared" si="25"/>
        <v>5.5144174558264536E-3</v>
      </c>
      <c r="L51" s="2">
        <v>66.67</v>
      </c>
      <c r="M51" s="8">
        <f t="shared" si="26"/>
        <v>1.8430664955280686E-3</v>
      </c>
      <c r="N51" s="2">
        <v>94.86</v>
      </c>
      <c r="O51" s="8">
        <f t="shared" si="27"/>
        <v>1.3855707832988329E-3</v>
      </c>
      <c r="P51" s="1"/>
      <c r="Q51" s="8" t="e">
        <f t="shared" si="28"/>
        <v>#DIV/0!</v>
      </c>
    </row>
    <row r="52" spans="1:17" x14ac:dyDescent="0.25">
      <c r="A52" s="1" t="s">
        <v>24</v>
      </c>
      <c r="B52" s="2">
        <f t="shared" si="29"/>
        <v>7492</v>
      </c>
      <c r="C52" s="8">
        <f t="shared" si="22"/>
        <v>2.247967834976837E-2</v>
      </c>
      <c r="D52" s="2"/>
      <c r="E52" s="8">
        <f t="shared" si="22"/>
        <v>0</v>
      </c>
      <c r="F52" s="2">
        <v>2680</v>
      </c>
      <c r="G52" s="8">
        <f t="shared" si="23"/>
        <v>3.755029182041153E-2</v>
      </c>
      <c r="H52" s="2">
        <v>1302</v>
      </c>
      <c r="I52" s="8">
        <f t="shared" si="24"/>
        <v>0.19879076584829608</v>
      </c>
      <c r="J52" s="2">
        <v>2010</v>
      </c>
      <c r="K52" s="8">
        <f t="shared" si="25"/>
        <v>0.16955758124844991</v>
      </c>
      <c r="L52" s="2">
        <v>1500</v>
      </c>
      <c r="M52" s="8">
        <f t="shared" si="26"/>
        <v>4.1466922803241379E-2</v>
      </c>
      <c r="N52" s="2">
        <v>0</v>
      </c>
      <c r="O52" s="8">
        <f t="shared" si="27"/>
        <v>0</v>
      </c>
      <c r="P52" s="1"/>
      <c r="Q52" s="8" t="e">
        <f t="shared" si="28"/>
        <v>#DIV/0!</v>
      </c>
    </row>
    <row r="53" spans="1:17" x14ac:dyDescent="0.25">
      <c r="A53" s="1" t="s">
        <v>8</v>
      </c>
      <c r="B53" s="2">
        <f t="shared" si="29"/>
        <v>325.14999999999998</v>
      </c>
      <c r="C53" s="8">
        <f t="shared" si="22"/>
        <v>9.7560963900523024E-4</v>
      </c>
      <c r="D53" s="2">
        <v>65</v>
      </c>
      <c r="E53" s="8">
        <f t="shared" si="22"/>
        <v>4.8555405714403529E-4</v>
      </c>
      <c r="F53" s="2">
        <v>100.15</v>
      </c>
      <c r="G53" s="8">
        <f t="shared" si="23"/>
        <v>1.40323198724411E-3</v>
      </c>
      <c r="H53" s="2">
        <v>45</v>
      </c>
      <c r="I53" s="8">
        <f t="shared" si="24"/>
        <v>6.8706485892268227E-3</v>
      </c>
      <c r="J53" s="2">
        <v>0</v>
      </c>
      <c r="K53" s="8">
        <f t="shared" si="25"/>
        <v>0</v>
      </c>
      <c r="L53" s="2">
        <v>50</v>
      </c>
      <c r="M53" s="8">
        <f t="shared" si="26"/>
        <v>1.3822307601080461E-3</v>
      </c>
      <c r="N53" s="2">
        <v>65</v>
      </c>
      <c r="O53" s="8">
        <f t="shared" si="27"/>
        <v>9.494212620116397E-4</v>
      </c>
      <c r="P53" s="1"/>
      <c r="Q53" s="8" t="e">
        <f t="shared" si="28"/>
        <v>#DIV/0!</v>
      </c>
    </row>
    <row r="54" spans="1:17" x14ac:dyDescent="0.25">
      <c r="A54" s="13" t="s">
        <v>9</v>
      </c>
      <c r="B54" s="12">
        <v>1302</v>
      </c>
      <c r="C54" s="14">
        <f t="shared" si="22"/>
        <v>3.9066392433793938E-3</v>
      </c>
      <c r="D54" s="12">
        <f>B54*E4</f>
        <v>522.97277117454723</v>
      </c>
      <c r="E54" s="14">
        <f t="shared" si="22"/>
        <v>3.9066392433793938E-3</v>
      </c>
      <c r="F54" s="12">
        <f>B54*G4</f>
        <v>278.82055410726855</v>
      </c>
      <c r="G54" s="14">
        <f t="shared" si="23"/>
        <v>3.9066392433793938E-3</v>
      </c>
      <c r="H54" s="12">
        <f>B54*I4</f>
        <v>25.58692438843768</v>
      </c>
      <c r="I54" s="14">
        <f t="shared" si="24"/>
        <v>3.9066392433793938E-3</v>
      </c>
      <c r="J54" s="12">
        <f>B54*K4</f>
        <v>46.310786113931819</v>
      </c>
      <c r="K54" s="14">
        <f t="shared" si="25"/>
        <v>3.9066392433793938E-3</v>
      </c>
      <c r="L54" s="12">
        <f>B54*M4</f>
        <v>141.3164630728526</v>
      </c>
      <c r="M54" s="14">
        <f t="shared" si="26"/>
        <v>3.9066392433793938E-3</v>
      </c>
      <c r="N54" s="2">
        <v>997</v>
      </c>
      <c r="O54" s="8">
        <f t="shared" si="27"/>
        <v>1.4562661511163151E-2</v>
      </c>
      <c r="P54" s="1"/>
      <c r="Q54" s="8" t="e">
        <f t="shared" si="28"/>
        <v>#DIV/0!</v>
      </c>
    </row>
    <row r="55" spans="1:17" x14ac:dyDescent="0.25">
      <c r="A55" s="1" t="s">
        <v>10</v>
      </c>
      <c r="B55" s="2">
        <f t="shared" si="29"/>
        <v>2504.4899999999998</v>
      </c>
      <c r="C55" s="8">
        <f t="shared" si="22"/>
        <v>7.5146996303005042E-3</v>
      </c>
      <c r="D55" s="2">
        <v>454.2</v>
      </c>
      <c r="E55" s="8">
        <f t="shared" si="22"/>
        <v>3.3929023500741664E-3</v>
      </c>
      <c r="F55" s="2">
        <v>794.38</v>
      </c>
      <c r="G55" s="8">
        <f t="shared" si="23"/>
        <v>1.1130298812051683E-2</v>
      </c>
      <c r="H55" s="2">
        <v>0</v>
      </c>
      <c r="I55" s="8">
        <f t="shared" si="24"/>
        <v>0</v>
      </c>
      <c r="J55" s="2">
        <v>0</v>
      </c>
      <c r="K55" s="8">
        <f t="shared" si="25"/>
        <v>0</v>
      </c>
      <c r="L55" s="2">
        <v>33.35</v>
      </c>
      <c r="M55" s="8">
        <f t="shared" si="26"/>
        <v>9.2194791699206681E-4</v>
      </c>
      <c r="N55" s="2">
        <v>1222.56</v>
      </c>
      <c r="O55" s="8">
        <f t="shared" si="27"/>
        <v>1.7857299355153081E-2</v>
      </c>
      <c r="P55" s="1"/>
      <c r="Q55" s="8" t="e">
        <f t="shared" si="28"/>
        <v>#DIV/0!</v>
      </c>
    </row>
    <row r="56" spans="1:17" x14ac:dyDescent="0.25">
      <c r="A56" s="1" t="s">
        <v>12</v>
      </c>
      <c r="B56" s="2">
        <f t="shared" si="29"/>
        <v>496.85999999999996</v>
      </c>
      <c r="C56" s="8">
        <f t="shared" si="22"/>
        <v>1.4908239435218781E-3</v>
      </c>
      <c r="D56" s="2">
        <v>59.95</v>
      </c>
      <c r="E56" s="8">
        <f t="shared" si="22"/>
        <v>4.4783024193515255E-4</v>
      </c>
      <c r="F56" s="2">
        <v>104</v>
      </c>
      <c r="G56" s="8">
        <f t="shared" si="23"/>
        <v>1.4571755034786563E-3</v>
      </c>
      <c r="H56" s="2">
        <v>133.06</v>
      </c>
      <c r="I56" s="8">
        <f t="shared" si="24"/>
        <v>2.0315744472944913E-2</v>
      </c>
      <c r="J56" s="2">
        <v>69.900000000000006</v>
      </c>
      <c r="K56" s="8">
        <f t="shared" si="25"/>
        <v>5.8965546911774382E-3</v>
      </c>
      <c r="L56" s="2">
        <v>70</v>
      </c>
      <c r="M56" s="8">
        <f t="shared" si="26"/>
        <v>1.9351230641512646E-3</v>
      </c>
      <c r="N56" s="2">
        <v>59.95</v>
      </c>
      <c r="O56" s="8">
        <f t="shared" si="27"/>
        <v>8.7565853319381231E-4</v>
      </c>
      <c r="P56" s="1"/>
      <c r="Q56" s="8" t="e">
        <f t="shared" si="28"/>
        <v>#DIV/0!</v>
      </c>
    </row>
    <row r="57" spans="1:17" x14ac:dyDescent="0.25">
      <c r="A57" s="1" t="s">
        <v>13</v>
      </c>
      <c r="B57" s="2">
        <f t="shared" si="29"/>
        <v>714.24000000000012</v>
      </c>
      <c r="C57" s="8">
        <f t="shared" si="22"/>
        <v>2.1430706706538393E-3</v>
      </c>
      <c r="D57" s="2">
        <v>195.36</v>
      </c>
      <c r="E57" s="8">
        <f t="shared" si="22"/>
        <v>1.4593513939024421E-3</v>
      </c>
      <c r="F57" s="2">
        <v>82.86</v>
      </c>
      <c r="G57" s="8">
        <f t="shared" si="23"/>
        <v>1.1609765597907834E-3</v>
      </c>
      <c r="H57" s="2"/>
      <c r="I57" s="8">
        <f t="shared" si="24"/>
        <v>0</v>
      </c>
      <c r="J57" s="2">
        <v>90.1</v>
      </c>
      <c r="K57" s="8">
        <f t="shared" si="25"/>
        <v>7.6005662042215611E-3</v>
      </c>
      <c r="L57" s="2">
        <v>150.56</v>
      </c>
      <c r="M57" s="8">
        <f t="shared" si="26"/>
        <v>4.1621732648373481E-3</v>
      </c>
      <c r="N57" s="2">
        <v>195.36</v>
      </c>
      <c r="O57" s="8">
        <f t="shared" si="27"/>
        <v>2.8535221191783684E-3</v>
      </c>
      <c r="P57" s="1"/>
      <c r="Q57" s="8" t="e">
        <f t="shared" si="28"/>
        <v>#DIV/0!</v>
      </c>
    </row>
    <row r="58" spans="1:17" x14ac:dyDescent="0.25">
      <c r="A58" s="1" t="s">
        <v>14</v>
      </c>
      <c r="B58" s="2">
        <f t="shared" si="29"/>
        <v>282.99</v>
      </c>
      <c r="C58" s="8">
        <f t="shared" si="22"/>
        <v>8.491089396958024E-4</v>
      </c>
      <c r="D58" s="2">
        <v>53.5</v>
      </c>
      <c r="E58" s="8">
        <f t="shared" si="22"/>
        <v>3.9964833934162902E-4</v>
      </c>
      <c r="F58" s="2">
        <v>47.54</v>
      </c>
      <c r="G58" s="8">
        <f t="shared" si="23"/>
        <v>6.6609734072476268E-4</v>
      </c>
      <c r="H58" s="2">
        <v>36.5</v>
      </c>
      <c r="I58" s="8">
        <f t="shared" si="24"/>
        <v>5.5728594112617559E-3</v>
      </c>
      <c r="J58" s="2">
        <v>26.95</v>
      </c>
      <c r="K58" s="8">
        <f t="shared" si="25"/>
        <v>2.2734213008187686E-3</v>
      </c>
      <c r="L58" s="2">
        <v>65</v>
      </c>
      <c r="M58" s="8">
        <f t="shared" si="26"/>
        <v>1.7968999881404599E-3</v>
      </c>
      <c r="N58" s="2">
        <v>53.5</v>
      </c>
      <c r="O58" s="8">
        <f t="shared" si="27"/>
        <v>7.8144673104034955E-4</v>
      </c>
      <c r="P58" s="1"/>
      <c r="Q58" s="8" t="e">
        <f t="shared" si="28"/>
        <v>#DIV/0!</v>
      </c>
    </row>
    <row r="59" spans="1:17" x14ac:dyDescent="0.25">
      <c r="A59" s="1" t="s">
        <v>15</v>
      </c>
      <c r="B59" s="2">
        <f t="shared" si="29"/>
        <v>415.82000000000005</v>
      </c>
      <c r="C59" s="8">
        <f t="shared" si="22"/>
        <v>1.2476641552857295E-3</v>
      </c>
      <c r="D59" s="2">
        <v>125.9</v>
      </c>
      <c r="E59" s="8">
        <f t="shared" si="22"/>
        <v>9.4048085837590838E-4</v>
      </c>
      <c r="F59" s="2">
        <v>148.80000000000001</v>
      </c>
      <c r="G59" s="8">
        <f t="shared" si="23"/>
        <v>2.0848818742079237E-3</v>
      </c>
      <c r="H59" s="2">
        <v>73</v>
      </c>
      <c r="I59" s="8">
        <f t="shared" si="24"/>
        <v>1.1145718822523512E-2</v>
      </c>
      <c r="J59" s="2">
        <v>0</v>
      </c>
      <c r="K59" s="8">
        <f t="shared" si="25"/>
        <v>0</v>
      </c>
      <c r="L59" s="2">
        <v>68.12</v>
      </c>
      <c r="M59" s="8">
        <f t="shared" si="26"/>
        <v>1.8831511875712021E-3</v>
      </c>
      <c r="N59" s="2">
        <v>0</v>
      </c>
      <c r="O59" s="8">
        <f t="shared" si="27"/>
        <v>0</v>
      </c>
      <c r="P59" s="1"/>
      <c r="Q59" s="8" t="e">
        <f t="shared" si="28"/>
        <v>#DIV/0!</v>
      </c>
    </row>
    <row r="60" spans="1:17" x14ac:dyDescent="0.25">
      <c r="A60" s="1" t="s">
        <v>16</v>
      </c>
      <c r="B60" s="2">
        <f t="shared" si="29"/>
        <v>152.21</v>
      </c>
      <c r="C60" s="8">
        <f t="shared" si="22"/>
        <v>4.5670473059506724E-4</v>
      </c>
      <c r="D60" s="2">
        <v>21.51</v>
      </c>
      <c r="E60" s="8">
        <f t="shared" si="22"/>
        <v>1.6068104260258769E-4</v>
      </c>
      <c r="F60" s="2">
        <v>60.55</v>
      </c>
      <c r="G60" s="8">
        <f t="shared" si="23"/>
        <v>8.4838439168877537E-4</v>
      </c>
      <c r="H60" s="2">
        <v>0</v>
      </c>
      <c r="I60" s="8">
        <f t="shared" si="24"/>
        <v>0</v>
      </c>
      <c r="J60" s="2">
        <v>13.43</v>
      </c>
      <c r="K60" s="8">
        <f t="shared" si="25"/>
        <v>1.1329145851575535E-3</v>
      </c>
      <c r="L60" s="2">
        <v>35.21</v>
      </c>
      <c r="M60" s="8">
        <f t="shared" si="26"/>
        <v>9.7336690126808613E-4</v>
      </c>
      <c r="N60" s="2">
        <v>21.51</v>
      </c>
      <c r="O60" s="8">
        <f t="shared" si="27"/>
        <v>3.1418540532108261E-4</v>
      </c>
      <c r="P60" s="1"/>
      <c r="Q60" s="8" t="e">
        <f t="shared" si="28"/>
        <v>#DIV/0!</v>
      </c>
    </row>
    <row r="61" spans="1:17" x14ac:dyDescent="0.25">
      <c r="A61" s="1" t="s">
        <v>25</v>
      </c>
      <c r="B61" s="2">
        <f t="shared" si="29"/>
        <v>193</v>
      </c>
      <c r="C61" s="8">
        <f t="shared" si="22"/>
        <v>5.7909475727513284E-4</v>
      </c>
      <c r="D61" s="2"/>
      <c r="E61" s="8">
        <f t="shared" si="22"/>
        <v>0</v>
      </c>
      <c r="F61" s="2">
        <v>135</v>
      </c>
      <c r="G61" s="8">
        <f t="shared" si="23"/>
        <v>1.8915258939386404E-3</v>
      </c>
      <c r="H61" s="2">
        <v>0</v>
      </c>
      <c r="I61" s="8">
        <f t="shared" si="24"/>
        <v>0</v>
      </c>
      <c r="J61" s="2">
        <v>58</v>
      </c>
      <c r="K61" s="8">
        <f t="shared" si="25"/>
        <v>4.8927063245821373E-3</v>
      </c>
      <c r="L61" s="2">
        <v>0</v>
      </c>
      <c r="M61" s="8">
        <f t="shared" si="26"/>
        <v>0</v>
      </c>
      <c r="N61" s="2">
        <v>0</v>
      </c>
      <c r="O61" s="8">
        <f t="shared" si="27"/>
        <v>0</v>
      </c>
      <c r="P61" s="1"/>
      <c r="Q61" s="8" t="e">
        <f t="shared" si="28"/>
        <v>#DIV/0!</v>
      </c>
    </row>
    <row r="62" spans="1:17" x14ac:dyDescent="0.25">
      <c r="A62" s="1" t="s">
        <v>44</v>
      </c>
      <c r="B62" s="2">
        <f t="shared" si="29"/>
        <v>4220</v>
      </c>
      <c r="C62" s="8">
        <f t="shared" ref="C62:E78" si="30">B62/B$4</f>
        <v>1.2662071894824149E-2</v>
      </c>
      <c r="D62" s="2">
        <v>1885</v>
      </c>
      <c r="E62" s="8">
        <f t="shared" si="30"/>
        <v>1.4081067657177022E-2</v>
      </c>
      <c r="F62" s="2">
        <v>660</v>
      </c>
      <c r="G62" s="8">
        <f t="shared" si="23"/>
        <v>9.2474599259222412E-3</v>
      </c>
      <c r="H62" s="2">
        <v>0</v>
      </c>
      <c r="I62" s="8">
        <f t="shared" si="24"/>
        <v>0</v>
      </c>
      <c r="J62" s="2">
        <v>50</v>
      </c>
      <c r="K62" s="8">
        <f t="shared" si="25"/>
        <v>4.2178502798121869E-3</v>
      </c>
      <c r="L62" s="2">
        <v>0</v>
      </c>
      <c r="M62" s="8">
        <f t="shared" si="26"/>
        <v>0</v>
      </c>
      <c r="N62" s="2">
        <v>1625</v>
      </c>
      <c r="O62" s="8">
        <f t="shared" si="27"/>
        <v>2.3735531550290991E-2</v>
      </c>
      <c r="P62" s="1"/>
      <c r="Q62" s="8" t="e">
        <f t="shared" si="28"/>
        <v>#DIV/0!</v>
      </c>
    </row>
    <row r="63" spans="1:17" x14ac:dyDescent="0.25">
      <c r="A63" s="1" t="s">
        <v>77</v>
      </c>
      <c r="B63" s="2">
        <f t="shared" si="29"/>
        <v>350</v>
      </c>
      <c r="C63" s="8">
        <f t="shared" si="30"/>
        <v>1.0501718396181167E-3</v>
      </c>
      <c r="D63" s="2">
        <v>70</v>
      </c>
      <c r="E63" s="8">
        <f t="shared" si="30"/>
        <v>5.2290436923203799E-4</v>
      </c>
      <c r="F63" s="2">
        <v>70</v>
      </c>
      <c r="G63" s="8">
        <f t="shared" si="23"/>
        <v>9.8079120426448028E-4</v>
      </c>
      <c r="H63" s="2">
        <v>70</v>
      </c>
      <c r="I63" s="8">
        <f t="shared" si="24"/>
        <v>1.0687675583241725E-2</v>
      </c>
      <c r="J63" s="2">
        <v>70</v>
      </c>
      <c r="K63" s="8">
        <f t="shared" si="25"/>
        <v>5.9049903917370618E-3</v>
      </c>
      <c r="L63" s="2">
        <v>70</v>
      </c>
      <c r="M63" s="8">
        <f t="shared" si="26"/>
        <v>1.9351230641512646E-3</v>
      </c>
      <c r="N63" s="2">
        <v>0</v>
      </c>
      <c r="O63" s="8">
        <f t="shared" si="27"/>
        <v>0</v>
      </c>
      <c r="P63" s="1"/>
      <c r="Q63" s="8" t="e">
        <f t="shared" si="28"/>
        <v>#DIV/0!</v>
      </c>
    </row>
    <row r="64" spans="1:17" x14ac:dyDescent="0.25">
      <c r="A64" s="1" t="s">
        <v>81</v>
      </c>
      <c r="B64" s="2">
        <f t="shared" si="29"/>
        <v>599.76</v>
      </c>
      <c r="C64" s="8">
        <f t="shared" si="30"/>
        <v>1.7995744643696046E-3</v>
      </c>
      <c r="D64" s="2">
        <v>99.96</v>
      </c>
      <c r="E64" s="8">
        <f t="shared" si="30"/>
        <v>7.4670743926335019E-4</v>
      </c>
      <c r="F64" s="2">
        <v>99.96</v>
      </c>
      <c r="G64" s="8">
        <f t="shared" si="23"/>
        <v>1.4005698396896775E-3</v>
      </c>
      <c r="H64" s="2">
        <v>99.96</v>
      </c>
      <c r="I64" s="8">
        <f t="shared" si="24"/>
        <v>1.5262000732869182E-2</v>
      </c>
      <c r="J64" s="2">
        <v>99.96</v>
      </c>
      <c r="K64" s="8">
        <f t="shared" si="25"/>
        <v>8.432326279400524E-3</v>
      </c>
      <c r="L64" s="2">
        <v>99.96</v>
      </c>
      <c r="M64" s="8">
        <f t="shared" si="26"/>
        <v>2.7633557356080054E-3</v>
      </c>
      <c r="N64" s="2">
        <v>99.96</v>
      </c>
      <c r="O64" s="8">
        <f t="shared" si="27"/>
        <v>1.4600638361643614E-3</v>
      </c>
      <c r="P64" s="1"/>
      <c r="Q64" s="8" t="e">
        <f t="shared" si="28"/>
        <v>#DIV/0!</v>
      </c>
    </row>
    <row r="65" spans="1:17" x14ac:dyDescent="0.25">
      <c r="A65" s="1" t="s">
        <v>33</v>
      </c>
      <c r="B65" s="2">
        <f t="shared" si="29"/>
        <v>58.85</v>
      </c>
      <c r="C65" s="8">
        <f t="shared" si="30"/>
        <v>1.7657889360436047E-4</v>
      </c>
      <c r="D65" s="2">
        <v>50</v>
      </c>
      <c r="E65" s="8">
        <f t="shared" si="30"/>
        <v>3.7350312088002714E-4</v>
      </c>
      <c r="F65" s="2"/>
      <c r="G65" s="8">
        <f t="shared" si="23"/>
        <v>0</v>
      </c>
      <c r="H65" s="2">
        <v>0</v>
      </c>
      <c r="I65" s="8">
        <f t="shared" si="24"/>
        <v>0</v>
      </c>
      <c r="J65" s="2">
        <v>8.85</v>
      </c>
      <c r="K65" s="8">
        <f t="shared" si="25"/>
        <v>7.4655949952675714E-4</v>
      </c>
      <c r="L65" s="2">
        <v>0</v>
      </c>
      <c r="M65" s="8">
        <f t="shared" si="26"/>
        <v>0</v>
      </c>
      <c r="N65" s="2">
        <v>0</v>
      </c>
      <c r="O65" s="8">
        <f t="shared" si="27"/>
        <v>0</v>
      </c>
      <c r="P65" s="1"/>
      <c r="Q65" s="8" t="e">
        <f t="shared" si="28"/>
        <v>#DIV/0!</v>
      </c>
    </row>
    <row r="66" spans="1:17" x14ac:dyDescent="0.25">
      <c r="A66" s="1" t="s">
        <v>54</v>
      </c>
      <c r="B66" s="2">
        <f t="shared" si="29"/>
        <v>0</v>
      </c>
      <c r="C66" s="8">
        <f t="shared" si="30"/>
        <v>0</v>
      </c>
      <c r="D66" s="2"/>
      <c r="E66" s="8">
        <f t="shared" si="30"/>
        <v>0</v>
      </c>
      <c r="F66" s="2"/>
      <c r="G66" s="8">
        <f t="shared" si="23"/>
        <v>0</v>
      </c>
      <c r="H66" s="2">
        <v>0</v>
      </c>
      <c r="I66" s="8">
        <f t="shared" si="24"/>
        <v>0</v>
      </c>
      <c r="J66" s="2">
        <v>0</v>
      </c>
      <c r="K66" s="8">
        <f t="shared" si="25"/>
        <v>0</v>
      </c>
      <c r="L66" s="2">
        <v>0</v>
      </c>
      <c r="M66" s="8">
        <f t="shared" si="26"/>
        <v>0</v>
      </c>
      <c r="N66" s="2">
        <v>0</v>
      </c>
      <c r="O66" s="8">
        <f t="shared" si="27"/>
        <v>0</v>
      </c>
      <c r="P66" s="1"/>
      <c r="Q66" s="8" t="e">
        <f t="shared" si="28"/>
        <v>#DIV/0!</v>
      </c>
    </row>
    <row r="67" spans="1:17" x14ac:dyDescent="0.25">
      <c r="A67" s="1" t="s">
        <v>42</v>
      </c>
      <c r="B67" s="2">
        <f t="shared" si="29"/>
        <v>541.48</v>
      </c>
      <c r="C67" s="8">
        <f t="shared" si="30"/>
        <v>1.6247058506183366E-3</v>
      </c>
      <c r="D67" s="2">
        <v>14.8</v>
      </c>
      <c r="E67" s="8">
        <f t="shared" si="30"/>
        <v>1.1055692378048803E-4</v>
      </c>
      <c r="F67" s="2">
        <v>14.8</v>
      </c>
      <c r="G67" s="8">
        <f t="shared" si="23"/>
        <v>2.0736728318734724E-4</v>
      </c>
      <c r="H67" s="2">
        <v>14.8</v>
      </c>
      <c r="I67" s="8">
        <f t="shared" si="24"/>
        <v>2.2596799804568217E-3</v>
      </c>
      <c r="J67" s="2">
        <v>14.8</v>
      </c>
      <c r="K67" s="8">
        <f t="shared" si="25"/>
        <v>1.2484836828244076E-3</v>
      </c>
      <c r="L67" s="2">
        <v>14.8</v>
      </c>
      <c r="M67" s="8">
        <f t="shared" si="26"/>
        <v>4.0914030499198165E-4</v>
      </c>
      <c r="N67" s="2">
        <v>467.48</v>
      </c>
      <c r="O67" s="8">
        <f t="shared" si="27"/>
        <v>6.8282377163877131E-3</v>
      </c>
      <c r="P67" s="1"/>
      <c r="Q67" s="8" t="e">
        <f t="shared" si="28"/>
        <v>#DIV/0!</v>
      </c>
    </row>
    <row r="68" spans="1:17" x14ac:dyDescent="0.25">
      <c r="A68" s="1" t="s">
        <v>17</v>
      </c>
      <c r="B68" s="2">
        <f t="shared" si="29"/>
        <v>234.81</v>
      </c>
      <c r="C68" s="8">
        <f t="shared" si="30"/>
        <v>7.0454528474494279E-4</v>
      </c>
      <c r="D68" s="2">
        <v>91.9</v>
      </c>
      <c r="E68" s="8">
        <f t="shared" si="30"/>
        <v>6.8649873617748986E-4</v>
      </c>
      <c r="F68" s="2">
        <v>58.4</v>
      </c>
      <c r="G68" s="8">
        <f t="shared" si="23"/>
        <v>8.1826009041493771E-4</v>
      </c>
      <c r="H68" s="2">
        <v>0</v>
      </c>
      <c r="I68" s="8">
        <f t="shared" si="24"/>
        <v>0</v>
      </c>
      <c r="J68" s="2">
        <v>84.51</v>
      </c>
      <c r="K68" s="8">
        <f t="shared" si="25"/>
        <v>7.1290105429385594E-3</v>
      </c>
      <c r="L68" s="2">
        <v>0</v>
      </c>
      <c r="M68" s="8">
        <f t="shared" si="26"/>
        <v>0</v>
      </c>
      <c r="N68" s="2">
        <v>0</v>
      </c>
      <c r="O68" s="8">
        <f t="shared" si="27"/>
        <v>0</v>
      </c>
      <c r="P68" s="1"/>
      <c r="Q68" s="8" t="e">
        <f t="shared" si="28"/>
        <v>#DIV/0!</v>
      </c>
    </row>
    <row r="69" spans="1:17" x14ac:dyDescent="0.25">
      <c r="A69" s="1" t="s">
        <v>11</v>
      </c>
      <c r="B69" s="2">
        <f t="shared" si="29"/>
        <v>3952.96</v>
      </c>
      <c r="C69" s="8">
        <f t="shared" si="30"/>
        <v>1.1860820786105229E-2</v>
      </c>
      <c r="D69" s="2">
        <v>1747.89</v>
      </c>
      <c r="E69" s="8">
        <f t="shared" si="30"/>
        <v>1.3056847399099814E-2</v>
      </c>
      <c r="F69" s="2">
        <v>813.8</v>
      </c>
      <c r="G69" s="8">
        <f t="shared" si="23"/>
        <v>1.1402398314720485E-2</v>
      </c>
      <c r="H69" s="2">
        <v>355.94</v>
      </c>
      <c r="I69" s="8">
        <f t="shared" si="24"/>
        <v>5.4345303529986559E-2</v>
      </c>
      <c r="J69" s="2">
        <v>430</v>
      </c>
      <c r="K69" s="8">
        <f t="shared" si="25"/>
        <v>3.6273512406384809E-2</v>
      </c>
      <c r="L69" s="2">
        <v>605.33000000000004</v>
      </c>
      <c r="M69" s="8">
        <f t="shared" si="26"/>
        <v>1.6734114920324072E-2</v>
      </c>
      <c r="N69" s="2">
        <v>0</v>
      </c>
      <c r="O69" s="8">
        <f t="shared" si="27"/>
        <v>0</v>
      </c>
      <c r="P69" s="1"/>
      <c r="Q69" s="8" t="e">
        <f t="shared" si="28"/>
        <v>#DIV/0!</v>
      </c>
    </row>
    <row r="70" spans="1:17" x14ac:dyDescent="0.25">
      <c r="A70" s="1" t="s">
        <v>18</v>
      </c>
      <c r="B70" s="2">
        <f t="shared" si="29"/>
        <v>1485.64</v>
      </c>
      <c r="C70" s="8">
        <f t="shared" si="30"/>
        <v>4.4576494051721685E-3</v>
      </c>
      <c r="D70" s="2">
        <v>396.53</v>
      </c>
      <c r="E70" s="8">
        <f t="shared" si="30"/>
        <v>2.9621038504511429E-3</v>
      </c>
      <c r="F70" s="2">
        <v>227.59</v>
      </c>
      <c r="G70" s="8">
        <f t="shared" si="23"/>
        <v>3.1888324311221865E-3</v>
      </c>
      <c r="H70" s="2">
        <v>110.59</v>
      </c>
      <c r="I70" s="8">
        <f t="shared" si="24"/>
        <v>1.6885000610724319E-2</v>
      </c>
      <c r="J70" s="2">
        <v>149.59</v>
      </c>
      <c r="K70" s="8">
        <f t="shared" si="25"/>
        <v>1.2618964467142103E-2</v>
      </c>
      <c r="L70" s="2">
        <v>243.81</v>
      </c>
      <c r="M70" s="8">
        <f t="shared" si="26"/>
        <v>6.7400336324388542E-3</v>
      </c>
      <c r="N70" s="2">
        <v>357.53</v>
      </c>
      <c r="O70" s="8">
        <f t="shared" si="27"/>
        <v>5.2222551354926382E-3</v>
      </c>
      <c r="P70" s="1"/>
      <c r="Q70" s="8" t="e">
        <f t="shared" si="28"/>
        <v>#DIV/0!</v>
      </c>
    </row>
    <row r="71" spans="1:17" x14ac:dyDescent="0.25">
      <c r="A71" s="1" t="s">
        <v>53</v>
      </c>
      <c r="B71" s="2">
        <f t="shared" si="29"/>
        <v>1912.68</v>
      </c>
      <c r="C71" s="8">
        <f t="shared" si="30"/>
        <v>5.7389790691450837E-3</v>
      </c>
      <c r="D71" s="2">
        <v>1154.2</v>
      </c>
      <c r="E71" s="8">
        <f t="shared" si="30"/>
        <v>8.6219460423945463E-3</v>
      </c>
      <c r="F71" s="2">
        <v>758.48</v>
      </c>
      <c r="G71" s="8">
        <f t="shared" si="23"/>
        <v>1.0627293037293185E-2</v>
      </c>
      <c r="H71" s="2">
        <v>0</v>
      </c>
      <c r="I71" s="8">
        <f t="shared" si="24"/>
        <v>0</v>
      </c>
      <c r="J71" s="2">
        <v>0</v>
      </c>
      <c r="K71" s="8">
        <f t="shared" si="25"/>
        <v>0</v>
      </c>
      <c r="L71" s="2">
        <v>0</v>
      </c>
      <c r="M71" s="8">
        <f t="shared" si="26"/>
        <v>0</v>
      </c>
      <c r="N71" s="2">
        <v>0</v>
      </c>
      <c r="O71" s="8">
        <f t="shared" si="27"/>
        <v>0</v>
      </c>
      <c r="P71" s="2"/>
      <c r="Q71" s="8" t="e">
        <f t="shared" si="28"/>
        <v>#DIV/0!</v>
      </c>
    </row>
    <row r="72" spans="1:17" x14ac:dyDescent="0.25">
      <c r="A72" s="1" t="s">
        <v>74</v>
      </c>
      <c r="B72" s="2">
        <f t="shared" si="29"/>
        <v>178.6</v>
      </c>
      <c r="C72" s="8">
        <f t="shared" si="30"/>
        <v>5.3588768730227323E-4</v>
      </c>
      <c r="D72" s="2">
        <v>89.3</v>
      </c>
      <c r="E72" s="8">
        <f t="shared" si="30"/>
        <v>6.6707657389172847E-4</v>
      </c>
      <c r="F72" s="2"/>
      <c r="G72" s="8">
        <f t="shared" si="23"/>
        <v>0</v>
      </c>
      <c r="H72" s="2">
        <v>0</v>
      </c>
      <c r="I72" s="8">
        <f t="shared" si="24"/>
        <v>0</v>
      </c>
      <c r="J72" s="2">
        <v>0</v>
      </c>
      <c r="K72" s="8">
        <f t="shared" si="25"/>
        <v>0</v>
      </c>
      <c r="L72" s="2">
        <v>0</v>
      </c>
      <c r="M72" s="8">
        <f t="shared" si="26"/>
        <v>0</v>
      </c>
      <c r="N72" s="2">
        <v>89.3</v>
      </c>
      <c r="O72" s="8">
        <f t="shared" si="27"/>
        <v>1.3043587491944526E-3</v>
      </c>
      <c r="P72" s="2">
        <v>0</v>
      </c>
      <c r="Q72" s="8" t="e">
        <f t="shared" si="28"/>
        <v>#DIV/0!</v>
      </c>
    </row>
    <row r="73" spans="1:17" x14ac:dyDescent="0.25">
      <c r="A73" s="1" t="s">
        <v>23</v>
      </c>
      <c r="B73" s="2">
        <f t="shared" si="29"/>
        <v>51.6</v>
      </c>
      <c r="C73" s="8">
        <f t="shared" si="30"/>
        <v>1.5482533406941377E-4</v>
      </c>
      <c r="D73" s="2"/>
      <c r="E73" s="8">
        <f t="shared" si="30"/>
        <v>0</v>
      </c>
      <c r="F73" s="2"/>
      <c r="G73" s="8">
        <f t="shared" si="23"/>
        <v>0</v>
      </c>
      <c r="H73" s="2">
        <v>0</v>
      </c>
      <c r="I73" s="8">
        <f t="shared" si="24"/>
        <v>0</v>
      </c>
      <c r="J73" s="2">
        <v>51.6</v>
      </c>
      <c r="K73" s="8">
        <f t="shared" si="25"/>
        <v>4.3528214887661775E-3</v>
      </c>
      <c r="L73" s="2">
        <v>0</v>
      </c>
      <c r="M73" s="8">
        <f t="shared" si="26"/>
        <v>0</v>
      </c>
      <c r="N73" s="2"/>
      <c r="O73" s="8">
        <f t="shared" si="27"/>
        <v>0</v>
      </c>
      <c r="P73" s="1"/>
      <c r="Q73" s="8" t="e">
        <f t="shared" si="28"/>
        <v>#DIV/0!</v>
      </c>
    </row>
    <row r="74" spans="1:17" x14ac:dyDescent="0.25">
      <c r="A74" s="1" t="s">
        <v>28</v>
      </c>
      <c r="B74" s="2">
        <f t="shared" si="29"/>
        <v>463.95</v>
      </c>
      <c r="C74" s="8">
        <f t="shared" si="30"/>
        <v>1.3920777856880719E-3</v>
      </c>
      <c r="D74" s="2"/>
      <c r="E74" s="8">
        <f t="shared" si="30"/>
        <v>0</v>
      </c>
      <c r="F74" s="2"/>
      <c r="G74" s="8">
        <f t="shared" si="23"/>
        <v>0</v>
      </c>
      <c r="H74" s="2">
        <v>0</v>
      </c>
      <c r="I74" s="8">
        <f t="shared" si="24"/>
        <v>0</v>
      </c>
      <c r="J74" s="2">
        <v>0</v>
      </c>
      <c r="K74" s="8">
        <f t="shared" si="25"/>
        <v>0</v>
      </c>
      <c r="L74" s="2">
        <v>0</v>
      </c>
      <c r="M74" s="8">
        <f t="shared" si="26"/>
        <v>0</v>
      </c>
      <c r="N74" s="2">
        <v>463.95</v>
      </c>
      <c r="O74" s="8">
        <f t="shared" si="27"/>
        <v>6.776676838620003E-3</v>
      </c>
      <c r="P74" s="1"/>
      <c r="Q74" s="8" t="e">
        <f t="shared" si="28"/>
        <v>#DIV/0!</v>
      </c>
    </row>
    <row r="75" spans="1:17" x14ac:dyDescent="0.25">
      <c r="A75" s="1" t="s">
        <v>29</v>
      </c>
      <c r="B75" s="2">
        <f t="shared" si="29"/>
        <v>3431.96</v>
      </c>
      <c r="C75" s="8">
        <f t="shared" si="30"/>
        <v>1.0297564990559404E-2</v>
      </c>
      <c r="D75" s="2">
        <v>1156.1400000000001</v>
      </c>
      <c r="E75" s="8">
        <f t="shared" si="30"/>
        <v>8.6364379634846916E-3</v>
      </c>
      <c r="F75" s="2">
        <v>642.41</v>
      </c>
      <c r="G75" s="8">
        <f t="shared" si="23"/>
        <v>9.0010011075934964E-3</v>
      </c>
      <c r="H75" s="2">
        <v>312.48</v>
      </c>
      <c r="I75" s="8">
        <f t="shared" si="24"/>
        <v>4.770978380359106E-2</v>
      </c>
      <c r="J75" s="2">
        <v>246.88</v>
      </c>
      <c r="K75" s="8">
        <f t="shared" si="25"/>
        <v>2.0826057541600655E-2</v>
      </c>
      <c r="L75" s="2">
        <v>203.85</v>
      </c>
      <c r="M75" s="8">
        <f t="shared" si="26"/>
        <v>5.635354808960504E-3</v>
      </c>
      <c r="N75" s="2">
        <v>870.2</v>
      </c>
      <c r="O75" s="8">
        <f t="shared" si="27"/>
        <v>1.2710559726192752E-2</v>
      </c>
      <c r="P75" s="1"/>
      <c r="Q75" s="8" t="e">
        <f t="shared" si="28"/>
        <v>#DIV/0!</v>
      </c>
    </row>
    <row r="76" spans="1:17" x14ac:dyDescent="0.25">
      <c r="A76" s="1" t="s">
        <v>52</v>
      </c>
      <c r="B76" s="2">
        <f t="shared" si="29"/>
        <v>0</v>
      </c>
      <c r="C76" s="8">
        <f t="shared" si="30"/>
        <v>0</v>
      </c>
      <c r="D76" s="2"/>
      <c r="E76" s="8">
        <f t="shared" si="30"/>
        <v>0</v>
      </c>
      <c r="F76" s="2"/>
      <c r="G76" s="8">
        <f t="shared" si="23"/>
        <v>0</v>
      </c>
      <c r="H76" s="2">
        <v>0</v>
      </c>
      <c r="I76" s="8">
        <f t="shared" si="24"/>
        <v>0</v>
      </c>
      <c r="J76" s="2">
        <v>0</v>
      </c>
      <c r="K76" s="8">
        <f t="shared" si="25"/>
        <v>0</v>
      </c>
      <c r="L76" s="2">
        <v>0</v>
      </c>
      <c r="M76" s="8">
        <f t="shared" si="26"/>
        <v>0</v>
      </c>
      <c r="N76" s="2">
        <v>0</v>
      </c>
      <c r="O76" s="8">
        <f t="shared" si="27"/>
        <v>0</v>
      </c>
      <c r="P76" s="1"/>
      <c r="Q76" s="8" t="e">
        <f t="shared" si="28"/>
        <v>#DIV/0!</v>
      </c>
    </row>
    <row r="77" spans="1:17" x14ac:dyDescent="0.25">
      <c r="A77" s="1" t="s">
        <v>51</v>
      </c>
      <c r="B77" s="2">
        <f t="shared" si="29"/>
        <v>0</v>
      </c>
      <c r="C77" s="8">
        <f t="shared" si="30"/>
        <v>0</v>
      </c>
      <c r="D77" s="2"/>
      <c r="E77" s="8">
        <f t="shared" si="30"/>
        <v>0</v>
      </c>
      <c r="F77" s="2"/>
      <c r="G77" s="8">
        <f t="shared" si="23"/>
        <v>0</v>
      </c>
      <c r="H77" s="2">
        <v>0</v>
      </c>
      <c r="I77" s="8">
        <f t="shared" si="24"/>
        <v>0</v>
      </c>
      <c r="J77" s="2">
        <v>0</v>
      </c>
      <c r="K77" s="8">
        <f t="shared" si="25"/>
        <v>0</v>
      </c>
      <c r="L77" s="2">
        <v>0</v>
      </c>
      <c r="M77" s="8">
        <f t="shared" si="26"/>
        <v>0</v>
      </c>
      <c r="N77" s="2">
        <v>0</v>
      </c>
      <c r="O77" s="8">
        <f t="shared" si="27"/>
        <v>0</v>
      </c>
      <c r="P77" s="1"/>
      <c r="Q77" s="8" t="e">
        <f t="shared" si="28"/>
        <v>#DIV/0!</v>
      </c>
    </row>
    <row r="78" spans="1:17" x14ac:dyDescent="0.25">
      <c r="A78" s="1" t="s">
        <v>31</v>
      </c>
      <c r="B78" s="2">
        <f t="shared" si="29"/>
        <v>6808.1500000000005</v>
      </c>
      <c r="C78" s="8">
        <f t="shared" si="30"/>
        <v>2.0427792599703089E-2</v>
      </c>
      <c r="D78" s="2">
        <v>1361.63</v>
      </c>
      <c r="E78" s="8">
        <f t="shared" si="30"/>
        <v>1.0171461089677428E-2</v>
      </c>
      <c r="F78" s="2">
        <v>1361.63</v>
      </c>
      <c r="G78" s="8">
        <f t="shared" si="23"/>
        <v>1.9078210392323491E-2</v>
      </c>
      <c r="H78" s="2">
        <v>1361.63</v>
      </c>
      <c r="I78" s="8">
        <f t="shared" si="24"/>
        <v>0.20789513863442044</v>
      </c>
      <c r="J78" s="2">
        <v>1361.63</v>
      </c>
      <c r="K78" s="8">
        <f t="shared" si="25"/>
        <v>0.11486302953001337</v>
      </c>
      <c r="L78" s="2">
        <v>1361.63</v>
      </c>
      <c r="M78" s="8">
        <f t="shared" si="26"/>
        <v>3.7641737397718381E-2</v>
      </c>
      <c r="N78" s="2">
        <v>0</v>
      </c>
      <c r="O78" s="8">
        <f t="shared" si="27"/>
        <v>0</v>
      </c>
      <c r="P78" s="1"/>
      <c r="Q78" s="8" t="e">
        <f t="shared" si="28"/>
        <v>#DIV/0!</v>
      </c>
    </row>
    <row r="79" spans="1:17" x14ac:dyDescent="0.25">
      <c r="A79" s="1" t="s">
        <v>82</v>
      </c>
      <c r="B79" s="2">
        <f t="shared" si="29"/>
        <v>535</v>
      </c>
      <c r="C79" s="8">
        <f t="shared" ref="C79:E87" si="31">B79/B$4</f>
        <v>1.6052626691305497E-3</v>
      </c>
      <c r="D79" s="2"/>
      <c r="E79" s="8">
        <f t="shared" ref="E79" si="32">D79/D$4</f>
        <v>0</v>
      </c>
      <c r="F79" s="2"/>
      <c r="G79" s="8">
        <f t="shared" si="23"/>
        <v>0</v>
      </c>
      <c r="H79" s="2">
        <v>0</v>
      </c>
      <c r="I79" s="8">
        <f t="shared" si="24"/>
        <v>0</v>
      </c>
      <c r="J79" s="2">
        <v>0</v>
      </c>
      <c r="K79" s="8">
        <f t="shared" si="25"/>
        <v>0</v>
      </c>
      <c r="L79" s="2">
        <v>0</v>
      </c>
      <c r="M79" s="8">
        <f t="shared" si="26"/>
        <v>0</v>
      </c>
      <c r="N79" s="2">
        <v>535</v>
      </c>
      <c r="O79" s="8">
        <f t="shared" si="27"/>
        <v>7.8144673104034966E-3</v>
      </c>
      <c r="P79" s="1"/>
      <c r="Q79" s="8" t="e">
        <f t="shared" si="28"/>
        <v>#DIV/0!</v>
      </c>
    </row>
    <row r="80" spans="1:17" x14ac:dyDescent="0.25">
      <c r="A80" s="1" t="s">
        <v>19</v>
      </c>
      <c r="B80" s="2">
        <f t="shared" si="29"/>
        <v>47554.39</v>
      </c>
      <c r="C80" s="8">
        <f t="shared" si="31"/>
        <v>0.14268651779490676</v>
      </c>
      <c r="D80" s="2">
        <v>8296.6200000000008</v>
      </c>
      <c r="E80" s="8">
        <f t="shared" si="31"/>
        <v>6.1976269255113021E-2</v>
      </c>
      <c r="F80" s="2">
        <v>7606.35</v>
      </c>
      <c r="G80" s="8">
        <f t="shared" si="23"/>
        <v>0.10657487395081613</v>
      </c>
      <c r="H80" s="2">
        <v>4201.2</v>
      </c>
      <c r="I80" s="8">
        <f t="shared" si="24"/>
        <v>0.64144375229021611</v>
      </c>
      <c r="J80" s="2">
        <v>1816.78</v>
      </c>
      <c r="K80" s="8">
        <f t="shared" si="25"/>
        <v>0.1532581206271437</v>
      </c>
      <c r="L80" s="2">
        <v>3351.46</v>
      </c>
      <c r="M80" s="8">
        <f t="shared" si="26"/>
        <v>9.2649822065434248E-2</v>
      </c>
      <c r="N80" s="2">
        <v>22281.98</v>
      </c>
      <c r="O80" s="8">
        <f t="shared" si="27"/>
        <v>0.325461316487971</v>
      </c>
      <c r="P80" s="2"/>
      <c r="Q80" s="8" t="e">
        <f t="shared" si="28"/>
        <v>#DIV/0!</v>
      </c>
    </row>
    <row r="81" spans="1:17" x14ac:dyDescent="0.25">
      <c r="A81" s="13" t="s">
        <v>43</v>
      </c>
      <c r="B81" s="12">
        <v>10648.07</v>
      </c>
      <c r="C81" s="14">
        <f t="shared" si="31"/>
        <v>3.1949437886521367E-2</v>
      </c>
      <c r="D81" s="12">
        <f>B81*E4</f>
        <v>4276.9974466670974</v>
      </c>
      <c r="E81" s="14">
        <f t="shared" si="31"/>
        <v>3.1949437886521367E-2</v>
      </c>
      <c r="F81" s="12">
        <f>B81*G4</f>
        <v>2280.2617339270223</v>
      </c>
      <c r="G81" s="14">
        <f t="shared" si="23"/>
        <v>3.1949437886521367E-2</v>
      </c>
      <c r="H81" s="12">
        <f>B81*I4</f>
        <v>209.25603838156036</v>
      </c>
      <c r="I81" s="14">
        <f t="shared" si="24"/>
        <v>3.1949437886521367E-2</v>
      </c>
      <c r="J81" s="12">
        <f>B81*K4</f>
        <v>378.74077749322117</v>
      </c>
      <c r="K81" s="14">
        <f t="shared" si="25"/>
        <v>3.1949437886521367E-2</v>
      </c>
      <c r="L81" s="12">
        <f>B81*M4</f>
        <v>1155.7201159386711</v>
      </c>
      <c r="M81" s="14">
        <f t="shared" si="26"/>
        <v>3.1949437886521374E-2</v>
      </c>
      <c r="N81" s="12">
        <f>B81*O4</f>
        <v>2187.3466981598194</v>
      </c>
      <c r="O81" s="14">
        <f t="shared" si="27"/>
        <v>3.1949437886521367E-2</v>
      </c>
      <c r="P81" s="12"/>
      <c r="Q81" s="14" t="e">
        <f t="shared" si="28"/>
        <v>#DIV/0!</v>
      </c>
    </row>
    <row r="82" spans="1:17" x14ac:dyDescent="0.25">
      <c r="A82" s="1" t="s">
        <v>30</v>
      </c>
      <c r="B82" s="2">
        <f t="shared" si="29"/>
        <v>2109.52</v>
      </c>
      <c r="C82" s="8">
        <f t="shared" si="31"/>
        <v>6.3295957117463124E-3</v>
      </c>
      <c r="D82" s="2">
        <v>854.02</v>
      </c>
      <c r="E82" s="8">
        <f t="shared" si="31"/>
        <v>6.3795827058792153E-3</v>
      </c>
      <c r="F82" s="2"/>
      <c r="G82" s="8">
        <f t="shared" si="23"/>
        <v>0</v>
      </c>
      <c r="H82" s="2">
        <v>1255.5</v>
      </c>
      <c r="I82" s="8">
        <f t="shared" si="24"/>
        <v>0.19169109563942835</v>
      </c>
      <c r="J82" s="2">
        <v>0</v>
      </c>
      <c r="K82" s="8">
        <f t="shared" si="25"/>
        <v>0</v>
      </c>
      <c r="L82" s="2">
        <v>0</v>
      </c>
      <c r="M82" s="8">
        <f t="shared" si="26"/>
        <v>0</v>
      </c>
      <c r="N82" s="2">
        <v>0</v>
      </c>
      <c r="O82" s="8">
        <f t="shared" si="27"/>
        <v>0</v>
      </c>
      <c r="P82" s="1"/>
      <c r="Q82" s="8" t="e">
        <f t="shared" si="28"/>
        <v>#DIV/0!</v>
      </c>
    </row>
    <row r="83" spans="1:17" x14ac:dyDescent="0.25">
      <c r="A83" s="1" t="s">
        <v>27</v>
      </c>
      <c r="B83" s="2">
        <f t="shared" si="29"/>
        <v>3520.37</v>
      </c>
      <c r="C83" s="8">
        <f t="shared" si="31"/>
        <v>1.056283839724694E-2</v>
      </c>
      <c r="D83" s="2">
        <v>0</v>
      </c>
      <c r="E83" s="8">
        <f t="shared" si="31"/>
        <v>0</v>
      </c>
      <c r="F83" s="2">
        <v>3520.37</v>
      </c>
      <c r="G83" s="8">
        <f t="shared" si="23"/>
        <v>4.9324970453664969E-2</v>
      </c>
      <c r="H83" s="2">
        <v>0</v>
      </c>
      <c r="I83" s="8">
        <f t="shared" si="24"/>
        <v>0</v>
      </c>
      <c r="J83" s="2">
        <v>0</v>
      </c>
      <c r="K83" s="8">
        <f t="shared" si="25"/>
        <v>0</v>
      </c>
      <c r="L83" s="2">
        <v>0</v>
      </c>
      <c r="M83" s="8">
        <f t="shared" si="26"/>
        <v>0</v>
      </c>
      <c r="N83" s="2">
        <v>0</v>
      </c>
      <c r="O83" s="8">
        <f t="shared" si="27"/>
        <v>0</v>
      </c>
      <c r="P83" s="1"/>
      <c r="Q83" s="8" t="e">
        <f t="shared" si="28"/>
        <v>#DIV/0!</v>
      </c>
    </row>
    <row r="84" spans="1:17" x14ac:dyDescent="0.25">
      <c r="A84" s="1" t="s">
        <v>55</v>
      </c>
      <c r="B84" s="2">
        <f t="shared" si="29"/>
        <v>7637.18</v>
      </c>
      <c r="C84" s="8">
        <f t="shared" si="31"/>
        <v>2.2915289628841966E-2</v>
      </c>
      <c r="D84" s="2">
        <v>0</v>
      </c>
      <c r="E84" s="8">
        <f t="shared" si="31"/>
        <v>0</v>
      </c>
      <c r="F84" s="2">
        <v>0</v>
      </c>
      <c r="G84" s="8">
        <f t="shared" si="23"/>
        <v>0</v>
      </c>
      <c r="H84" s="2">
        <v>0</v>
      </c>
      <c r="I84" s="8">
        <f t="shared" si="24"/>
        <v>0</v>
      </c>
      <c r="J84" s="2">
        <v>7637.18</v>
      </c>
      <c r="K84" s="8">
        <f t="shared" si="25"/>
        <v>0.64424963599952079</v>
      </c>
      <c r="L84" s="2">
        <v>0</v>
      </c>
      <c r="M84" s="8">
        <f t="shared" si="26"/>
        <v>0</v>
      </c>
      <c r="N84" s="2">
        <v>0</v>
      </c>
      <c r="O84" s="8">
        <f t="shared" si="27"/>
        <v>0</v>
      </c>
      <c r="P84" s="1"/>
      <c r="Q84" s="8" t="e">
        <f t="shared" si="28"/>
        <v>#DIV/0!</v>
      </c>
    </row>
    <row r="85" spans="1:17" x14ac:dyDescent="0.25">
      <c r="A85" s="13" t="s">
        <v>20</v>
      </c>
      <c r="B85" s="12">
        <v>12238.26</v>
      </c>
      <c r="C85" s="14">
        <f t="shared" si="31"/>
        <v>3.6720788622642317E-2</v>
      </c>
      <c r="D85" s="12">
        <f>B85*E4</f>
        <v>4915.727147891409</v>
      </c>
      <c r="E85" s="14">
        <f t="shared" si="31"/>
        <v>3.6720788622642317E-2</v>
      </c>
      <c r="F85" s="12">
        <f>B85*G4</f>
        <v>2620.797568747174</v>
      </c>
      <c r="G85" s="14">
        <f t="shared" si="23"/>
        <v>3.6720788622642324E-2</v>
      </c>
      <c r="H85" s="12">
        <f>B85*I4</f>
        <v>240.50647716285815</v>
      </c>
      <c r="I85" s="14">
        <f t="shared" si="24"/>
        <v>3.6720788622642317E-2</v>
      </c>
      <c r="J85" s="12">
        <f>B85*K4</f>
        <v>435.30218223247869</v>
      </c>
      <c r="K85" s="14">
        <f t="shared" si="25"/>
        <v>3.6720788622642317E-2</v>
      </c>
      <c r="L85" s="12">
        <f>B85*M4</f>
        <v>1328.3161423701761</v>
      </c>
      <c r="M85" s="14">
        <f t="shared" si="26"/>
        <v>3.6720788622642324E-2</v>
      </c>
      <c r="N85" s="12">
        <f>B85*O4</f>
        <v>2514.0065384826917</v>
      </c>
      <c r="O85" s="14">
        <f t="shared" si="27"/>
        <v>3.6720788622642324E-2</v>
      </c>
      <c r="P85" s="12"/>
      <c r="Q85" s="14" t="e">
        <f t="shared" si="28"/>
        <v>#DIV/0!</v>
      </c>
    </row>
    <row r="86" spans="1:17" x14ac:dyDescent="0.25">
      <c r="A86" s="1" t="s">
        <v>63</v>
      </c>
      <c r="B86" s="2">
        <f t="shared" si="29"/>
        <v>390</v>
      </c>
      <c r="C86" s="8">
        <f t="shared" si="31"/>
        <v>1.1701914784316156E-3</v>
      </c>
      <c r="D86" s="2">
        <v>60</v>
      </c>
      <c r="E86" s="8">
        <f t="shared" si="31"/>
        <v>4.4820374505603254E-4</v>
      </c>
      <c r="F86" s="2">
        <v>60</v>
      </c>
      <c r="G86" s="8">
        <f t="shared" si="23"/>
        <v>8.406781750838402E-4</v>
      </c>
      <c r="H86" s="2">
        <v>60</v>
      </c>
      <c r="I86" s="8">
        <f t="shared" si="24"/>
        <v>9.1608647856357642E-3</v>
      </c>
      <c r="J86" s="2">
        <v>100</v>
      </c>
      <c r="K86" s="8">
        <f t="shared" si="25"/>
        <v>8.4357005596243737E-3</v>
      </c>
      <c r="L86" s="2">
        <v>60</v>
      </c>
      <c r="M86" s="8">
        <f t="shared" si="26"/>
        <v>1.6586769121296552E-3</v>
      </c>
      <c r="N86" s="2">
        <v>50</v>
      </c>
      <c r="O86" s="8">
        <f t="shared" si="27"/>
        <v>7.3032404770126131E-4</v>
      </c>
      <c r="P86" s="2"/>
      <c r="Q86" s="8" t="e">
        <f t="shared" si="28"/>
        <v>#DIV/0!</v>
      </c>
    </row>
    <row r="87" spans="1:17" x14ac:dyDescent="0.25">
      <c r="A87" s="1" t="s">
        <v>26</v>
      </c>
      <c r="B87" s="2">
        <f t="shared" si="29"/>
        <v>210.16</v>
      </c>
      <c r="C87" s="8">
        <f t="shared" si="31"/>
        <v>6.3058318232612392E-4</v>
      </c>
      <c r="D87" s="2"/>
      <c r="E87" s="8">
        <f t="shared" si="31"/>
        <v>0</v>
      </c>
      <c r="F87" s="2">
        <v>210.16</v>
      </c>
      <c r="G87" s="8">
        <f t="shared" si="23"/>
        <v>2.9446154212603307E-3</v>
      </c>
      <c r="H87" s="2">
        <v>0</v>
      </c>
      <c r="I87" s="8">
        <f t="shared" si="24"/>
        <v>0</v>
      </c>
      <c r="J87" s="2"/>
      <c r="K87" s="8">
        <f t="shared" si="25"/>
        <v>0</v>
      </c>
      <c r="L87" s="2"/>
      <c r="M87" s="8">
        <f t="shared" si="26"/>
        <v>0</v>
      </c>
      <c r="N87" s="2">
        <v>0</v>
      </c>
      <c r="O87" s="8">
        <f t="shared" si="27"/>
        <v>0</v>
      </c>
      <c r="P87" s="1"/>
      <c r="Q87" s="8" t="e">
        <f t="shared" si="28"/>
        <v>#DIV/0!</v>
      </c>
    </row>
    <row r="92" spans="1:17" x14ac:dyDescent="0.25">
      <c r="A92" s="17" t="s">
        <v>101</v>
      </c>
    </row>
    <row r="93" spans="1:17" x14ac:dyDescent="0.25">
      <c r="A93" s="70" t="s">
        <v>103</v>
      </c>
      <c r="B93" s="70"/>
      <c r="C93" s="70"/>
    </row>
    <row r="94" spans="1:17" x14ac:dyDescent="0.25">
      <c r="A94" t="s">
        <v>102</v>
      </c>
    </row>
    <row r="95" spans="1:17" x14ac:dyDescent="0.25">
      <c r="A95" t="s">
        <v>104</v>
      </c>
    </row>
    <row r="96" spans="1:17" x14ac:dyDescent="0.25">
      <c r="A96" t="s">
        <v>105</v>
      </c>
    </row>
  </sheetData>
  <mergeCells count="2">
    <mergeCell ref="A1:Q1"/>
    <mergeCell ref="A2:P2"/>
  </mergeCells>
  <conditionalFormatting sqref="B25:Q28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56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06D813EDE98A4B917A85148C8B5132" ma:contentTypeVersion="13" ma:contentTypeDescription="Crie um novo documento." ma:contentTypeScope="" ma:versionID="82f07c6a64baba4509d0f5567b4dd5ac">
  <xsd:schema xmlns:xsd="http://www.w3.org/2001/XMLSchema" xmlns:xs="http://www.w3.org/2001/XMLSchema" xmlns:p="http://schemas.microsoft.com/office/2006/metadata/properties" xmlns:ns3="4f110724-7f20-45f2-9715-23e1a7fd0393" xmlns:ns4="d9aebd04-fb0e-4df1-9b81-3748e05da3ce" targetNamespace="http://schemas.microsoft.com/office/2006/metadata/properties" ma:root="true" ma:fieldsID="b6d025a0fdf839cd6570a4cf340073f9" ns3:_="" ns4:_="">
    <xsd:import namespace="4f110724-7f20-45f2-9715-23e1a7fd0393"/>
    <xsd:import namespace="d9aebd04-fb0e-4df1-9b81-3748e05da3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10724-7f20-45f2-9715-23e1a7fd03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ebd04-fb0e-4df1-9b81-3748e05da3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A76D7-F64B-4623-9983-086053DE6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10724-7f20-45f2-9715-23e1a7fd0393"/>
    <ds:schemaRef ds:uri="d9aebd04-fb0e-4df1-9b81-3748e05da3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DE742A-63A2-4CB1-B13F-9FE7D18D2A20}">
  <ds:schemaRefs>
    <ds:schemaRef ds:uri="http://purl.org/dc/elements/1.1/"/>
    <ds:schemaRef ds:uri="http://schemas.openxmlformats.org/package/2006/metadata/core-properties"/>
    <ds:schemaRef ds:uri="4f110724-7f20-45f2-9715-23e1a7fd0393"/>
    <ds:schemaRef ds:uri="http://www.w3.org/XML/1998/namespace"/>
    <ds:schemaRef ds:uri="http://schemas.microsoft.com/office/infopath/2007/PartnerControls"/>
    <ds:schemaRef ds:uri="d9aebd04-fb0e-4df1-9b81-3748e05da3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E3AA44-8F53-4840-824F-B4CB534558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modelo</vt:lpstr>
      <vt:lpstr>plan maio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Oem</cp:lastModifiedBy>
  <cp:lastPrinted>2024-01-10T13:17:35Z</cp:lastPrinted>
  <dcterms:created xsi:type="dcterms:W3CDTF">2021-09-27T19:23:28Z</dcterms:created>
  <dcterms:modified xsi:type="dcterms:W3CDTF">2024-04-29T13:54:31Z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0x0101001606D813EDE98A4B917A85148C8B5132</vt:lpwstr>
  </property>
</Properties>
</file>